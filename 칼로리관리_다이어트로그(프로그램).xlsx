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프로필" sheetId="1" r:id="rId1"/>
    <sheet name="음식DB" sheetId="2" r:id="rId2"/>
    <sheet name="일일기록" sheetId="3" r:id="rId3"/>
    <sheet name="일별요약" sheetId="4" r:id="rId4"/>
  </sheets>
  <calcPr calcId="124519" fullCalcOnLoad="1"/>
</workbook>
</file>

<file path=xl/sharedStrings.xml><?xml version="1.0" encoding="utf-8"?>
<sst xmlns="http://schemas.openxmlformats.org/spreadsheetml/2006/main" count="146" uniqueCount="117">
  <si>
    <t>칼로리 관리 · 다이어트 로그</t>
  </si>
  <si>
    <t>항목</t>
  </si>
  <si>
    <t>값</t>
  </si>
  <si>
    <t>나이</t>
  </si>
  <si>
    <t>성별</t>
  </si>
  <si>
    <t>키(cm)</t>
  </si>
  <si>
    <t>몸무게(kg)</t>
  </si>
  <si>
    <t>목표체중(kg)</t>
  </si>
  <si>
    <t>활동계수</t>
  </si>
  <si>
    <t>BMR</t>
  </si>
  <si>
    <t>TDEE</t>
  </si>
  <si>
    <t>권장 섭취 칼로리</t>
  </si>
  <si>
    <t>남성</t>
  </si>
  <si>
    <t>목표 매크로</t>
  </si>
  <si>
    <t>비율</t>
  </si>
  <si>
    <t>kcal</t>
  </si>
  <si>
    <t>g</t>
  </si>
  <si>
    <t>탄수화물</t>
  </si>
  <si>
    <t>단백질</t>
  </si>
  <si>
    <t>지방</t>
  </si>
  <si>
    <t>음식명</t>
  </si>
  <si>
    <t>기준량(비고)</t>
  </si>
  <si>
    <t>칼로리_최소</t>
  </si>
  <si>
    <t>칼로리_최대</t>
  </si>
  <si>
    <t>탄수화물_최소</t>
  </si>
  <si>
    <t>탄수화물_최대</t>
  </si>
  <si>
    <t>단백질_최소</t>
  </si>
  <si>
    <t>단백질_최대</t>
  </si>
  <si>
    <t>지방_최소</t>
  </si>
  <si>
    <t>지방_최대</t>
  </si>
  <si>
    <t>김치찌개</t>
  </si>
  <si>
    <t>1인분(300g)</t>
  </si>
  <si>
    <t>된장찌개</t>
  </si>
  <si>
    <t>공기밥</t>
  </si>
  <si>
    <t>300g</t>
  </si>
  <si>
    <t>계란후라이</t>
  </si>
  <si>
    <t>1개</t>
  </si>
  <si>
    <t>닭가슴살</t>
  </si>
  <si>
    <t>100g</t>
  </si>
  <si>
    <t>삼겹살</t>
  </si>
  <si>
    <t>200g</t>
  </si>
  <si>
    <t>비빔밥</t>
  </si>
  <si>
    <t>1인분</t>
  </si>
  <si>
    <t>라면</t>
  </si>
  <si>
    <t>1봉</t>
  </si>
  <si>
    <t>김밥</t>
  </si>
  <si>
    <t>1줄</t>
  </si>
  <si>
    <t>치킨(후라이드)</t>
  </si>
  <si>
    <t>1조각</t>
  </si>
  <si>
    <t>샐러드</t>
  </si>
  <si>
    <t>1볼(250g)</t>
  </si>
  <si>
    <t>우유</t>
  </si>
  <si>
    <t>200ml</t>
  </si>
  <si>
    <t>바나나</t>
  </si>
  <si>
    <t>사과</t>
  </si>
  <si>
    <t>아메리카노</t>
  </si>
  <si>
    <t>1잔</t>
  </si>
  <si>
    <t>라떼</t>
  </si>
  <si>
    <t>토스트</t>
  </si>
  <si>
    <t>1장</t>
  </si>
  <si>
    <t>제육볶음</t>
  </si>
  <si>
    <t>순두부찌개</t>
  </si>
  <si>
    <t>짜장면</t>
  </si>
  <si>
    <t>1그릇</t>
  </si>
  <si>
    <t>짬뽕</t>
  </si>
  <si>
    <t>돈까스</t>
  </si>
  <si>
    <t>초밥</t>
  </si>
  <si>
    <t>8pcs</t>
  </si>
  <si>
    <t>냉면</t>
  </si>
  <si>
    <t>떡볶이</t>
  </si>
  <si>
    <t>국밥</t>
  </si>
  <si>
    <t>삼계탕</t>
  </si>
  <si>
    <t>갈비탕</t>
  </si>
  <si>
    <t>볶음밥</t>
  </si>
  <si>
    <t>카레라이스</t>
  </si>
  <si>
    <t>파스타</t>
  </si>
  <si>
    <t>피자</t>
  </si>
  <si>
    <t>햄버거</t>
  </si>
  <si>
    <t>감자튀김</t>
  </si>
  <si>
    <t>요거트</t>
  </si>
  <si>
    <t>1컵(150g)</t>
  </si>
  <si>
    <t>견과류 한줌</t>
  </si>
  <si>
    <t>30g</t>
  </si>
  <si>
    <t>고구마</t>
  </si>
  <si>
    <t>1개(150g)</t>
  </si>
  <si>
    <t>두부조림</t>
  </si>
  <si>
    <t>나물반찬</t>
  </si>
  <si>
    <t>1접시</t>
  </si>
  <si>
    <t>스테이크</t>
  </si>
  <si>
    <t>김치</t>
  </si>
  <si>
    <t>1접시(50g)</t>
  </si>
  <si>
    <t>오렌지</t>
  </si>
  <si>
    <t>두유</t>
  </si>
  <si>
    <t>190ml</t>
  </si>
  <si>
    <t>삶은계란</t>
  </si>
  <si>
    <t>날짜</t>
  </si>
  <si>
    <t>끼니</t>
  </si>
  <si>
    <t>수량</t>
  </si>
  <si>
    <t>칼로리_평균</t>
  </si>
  <si>
    <t>탄수화물_평균</t>
  </si>
  <si>
    <t>단백질_평균</t>
  </si>
  <si>
    <t>지방_평균</t>
  </si>
  <si>
    <t>아침</t>
  </si>
  <si>
    <t>점심</t>
  </si>
  <si>
    <t>칼로리 평균</t>
  </si>
  <si>
    <t>탄수화물 g</t>
  </si>
  <si>
    <t>단백질 g</t>
  </si>
  <si>
    <t>지방 g</t>
  </si>
  <si>
    <t>남은 칼로리</t>
  </si>
  <si>
    <t>칼로리 달성률</t>
  </si>
  <si>
    <t>탄수화물 달성률</t>
  </si>
  <si>
    <t>단백질 달성률</t>
  </si>
  <si>
    <t>지방 달성률</t>
  </si>
  <si>
    <t>부족 영양소</t>
  </si>
  <si>
    <t>조언</t>
  </si>
  <si>
    <t>검산 칼로리</t>
  </si>
  <si>
    <t>검산 결과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</si>
</sst>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%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B9BD5"/>
  </sheetPr>
  <dimension ref="A1:D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6" width="14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>
        <v>26</v>
      </c>
    </row>
    <row r="5" spans="1:4">
      <c r="A5" t="s">
        <v>4</v>
      </c>
      <c r="B5" t="s">
        <v>12</v>
      </c>
    </row>
    <row r="6" spans="1:4">
      <c r="A6" t="s">
        <v>5</v>
      </c>
      <c r="B6">
        <v>185</v>
      </c>
    </row>
    <row r="7" spans="1:4">
      <c r="A7" t="s">
        <v>6</v>
      </c>
      <c r="B7">
        <v>87</v>
      </c>
    </row>
    <row r="8" spans="1:4">
      <c r="A8" t="s">
        <v>7</v>
      </c>
      <c r="B8">
        <v>80</v>
      </c>
    </row>
    <row r="9" spans="1:4">
      <c r="A9" t="s">
        <v>8</v>
      </c>
      <c r="B9">
        <v>1.375</v>
      </c>
    </row>
    <row r="10" spans="1:4">
      <c r="A10" t="s">
        <v>9</v>
      </c>
      <c r="B10">
        <f>10*B8+6.25*B6-5*B4+5</f>
        <v>0</v>
      </c>
    </row>
    <row r="11" spans="1:4">
      <c r="A11" t="s">
        <v>10</v>
      </c>
      <c r="B11">
        <f>B10*B9</f>
        <v>0</v>
      </c>
    </row>
    <row r="12" spans="1:4">
      <c r="A12" t="s">
        <v>11</v>
      </c>
      <c r="B12">
        <f>B11-500</f>
        <v>0</v>
      </c>
    </row>
    <row r="14" spans="1:4">
      <c r="A14" s="2" t="s">
        <v>13</v>
      </c>
      <c r="B14" s="2" t="s">
        <v>14</v>
      </c>
      <c r="C14" s="2" t="s">
        <v>15</v>
      </c>
      <c r="D14" s="2" t="s">
        <v>16</v>
      </c>
    </row>
    <row r="15" spans="1:4">
      <c r="A15" t="s">
        <v>17</v>
      </c>
      <c r="B15">
        <v>0.5</v>
      </c>
      <c r="C15">
        <f>$B$12*B15</f>
        <v>0</v>
      </c>
      <c r="D15">
        <f>C15/4</f>
        <v>0</v>
      </c>
    </row>
    <row r="16" spans="1:4">
      <c r="B16">
        <v>0.25</v>
      </c>
      <c r="C16">
        <f>$B$12*B16</f>
        <v>0</v>
      </c>
      <c r="D16">
        <f>C16/4</f>
        <v>0</v>
      </c>
    </row>
    <row r="17" spans="2:4">
      <c r="B17">
        <v>0.25</v>
      </c>
      <c r="C17">
        <f>$B$12*B17</f>
        <v>0</v>
      </c>
      <c r="D17">
        <f>C17/9</f>
        <v>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J4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4.7109375" customWidth="1"/>
  </cols>
  <sheetData>
    <row r="1" spans="1:10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</row>
    <row r="2" spans="1:10">
      <c r="A2" t="s">
        <v>30</v>
      </c>
      <c r="B2" t="s">
        <v>31</v>
      </c>
      <c r="C2">
        <v>250</v>
      </c>
      <c r="D2">
        <v>400</v>
      </c>
      <c r="E2">
        <v>10</v>
      </c>
      <c r="F2">
        <v>20</v>
      </c>
      <c r="G2">
        <v>15</v>
      </c>
      <c r="H2">
        <v>25</v>
      </c>
      <c r="I2">
        <v>12</v>
      </c>
      <c r="J2">
        <v>22</v>
      </c>
    </row>
    <row r="3" spans="1:10">
      <c r="A3" t="s">
        <v>32</v>
      </c>
      <c r="B3" t="s">
        <v>31</v>
      </c>
      <c r="C3">
        <v>180</v>
      </c>
      <c r="D3">
        <v>300</v>
      </c>
      <c r="E3">
        <v>12</v>
      </c>
      <c r="F3">
        <v>22</v>
      </c>
      <c r="G3">
        <v>10</v>
      </c>
      <c r="H3">
        <v>18</v>
      </c>
      <c r="I3">
        <v>7</v>
      </c>
      <c r="J3">
        <v>14</v>
      </c>
    </row>
    <row r="4" spans="1:10">
      <c r="A4" t="s">
        <v>33</v>
      </c>
      <c r="B4" t="s">
        <v>34</v>
      </c>
      <c r="C4">
        <v>420</v>
      </c>
      <c r="D4">
        <v>450</v>
      </c>
      <c r="E4">
        <v>90</v>
      </c>
      <c r="F4">
        <v>100</v>
      </c>
      <c r="G4">
        <v>7</v>
      </c>
      <c r="H4">
        <v>9</v>
      </c>
      <c r="I4">
        <v>0</v>
      </c>
      <c r="J4">
        <v>2</v>
      </c>
    </row>
    <row r="5" spans="1:10">
      <c r="A5" t="s">
        <v>35</v>
      </c>
      <c r="B5" t="s">
        <v>36</v>
      </c>
      <c r="C5">
        <v>90</v>
      </c>
      <c r="D5">
        <v>120</v>
      </c>
      <c r="E5">
        <v>0</v>
      </c>
      <c r="F5">
        <v>2</v>
      </c>
      <c r="G5">
        <v>6</v>
      </c>
      <c r="H5">
        <v>8</v>
      </c>
      <c r="I5">
        <v>7</v>
      </c>
      <c r="J5">
        <v>10</v>
      </c>
    </row>
    <row r="6" spans="1:10">
      <c r="A6" t="s">
        <v>37</v>
      </c>
      <c r="B6" t="s">
        <v>38</v>
      </c>
      <c r="C6">
        <v>110</v>
      </c>
      <c r="D6">
        <v>180</v>
      </c>
      <c r="E6">
        <v>0</v>
      </c>
      <c r="F6">
        <v>3</v>
      </c>
      <c r="G6">
        <v>23</v>
      </c>
      <c r="H6">
        <v>32</v>
      </c>
      <c r="I6">
        <v>1</v>
      </c>
      <c r="J6">
        <v>8</v>
      </c>
    </row>
    <row r="7" spans="1:10">
      <c r="A7" t="s">
        <v>39</v>
      </c>
      <c r="B7" t="s">
        <v>40</v>
      </c>
      <c r="C7">
        <v>700</v>
      </c>
      <c r="D7">
        <v>1000</v>
      </c>
      <c r="E7">
        <v>0</v>
      </c>
      <c r="F7">
        <v>5</v>
      </c>
      <c r="G7">
        <v>30</v>
      </c>
      <c r="H7">
        <v>45</v>
      </c>
      <c r="I7">
        <v>55</v>
      </c>
      <c r="J7">
        <v>80</v>
      </c>
    </row>
    <row r="8" spans="1:10">
      <c r="A8" t="s">
        <v>41</v>
      </c>
      <c r="B8" t="s">
        <v>42</v>
      </c>
      <c r="C8">
        <v>550</v>
      </c>
      <c r="D8">
        <v>750</v>
      </c>
      <c r="E8">
        <v>75</v>
      </c>
      <c r="F8">
        <v>105</v>
      </c>
      <c r="G8">
        <v>15</v>
      </c>
      <c r="H8">
        <v>25</v>
      </c>
      <c r="I8">
        <v>15</v>
      </c>
      <c r="J8">
        <v>25</v>
      </c>
    </row>
    <row r="9" spans="1:10">
      <c r="A9" t="s">
        <v>43</v>
      </c>
      <c r="B9" t="s">
        <v>44</v>
      </c>
      <c r="C9">
        <v>450</v>
      </c>
      <c r="D9">
        <v>600</v>
      </c>
      <c r="E9">
        <v>65</v>
      </c>
      <c r="F9">
        <v>85</v>
      </c>
      <c r="G9">
        <v>8</v>
      </c>
      <c r="H9">
        <v>12</v>
      </c>
      <c r="I9">
        <v>14</v>
      </c>
      <c r="J9">
        <v>22</v>
      </c>
    </row>
    <row r="10" spans="1:10">
      <c r="A10" t="s">
        <v>45</v>
      </c>
      <c r="B10" t="s">
        <v>46</v>
      </c>
      <c r="C10">
        <v>400</v>
      </c>
      <c r="D10">
        <v>550</v>
      </c>
      <c r="E10">
        <v>55</v>
      </c>
      <c r="F10">
        <v>75</v>
      </c>
      <c r="G10">
        <v>12</v>
      </c>
      <c r="H10">
        <v>20</v>
      </c>
      <c r="I10">
        <v>12</v>
      </c>
      <c r="J10">
        <v>22</v>
      </c>
    </row>
    <row r="11" spans="1:10">
      <c r="A11" t="s">
        <v>47</v>
      </c>
      <c r="B11" t="s">
        <v>48</v>
      </c>
      <c r="C11">
        <v>250</v>
      </c>
      <c r="D11">
        <v>350</v>
      </c>
      <c r="E11">
        <v>8</v>
      </c>
      <c r="F11">
        <v>15</v>
      </c>
      <c r="G11">
        <v>15</v>
      </c>
      <c r="H11">
        <v>25</v>
      </c>
      <c r="I11">
        <v>16</v>
      </c>
      <c r="J11">
        <v>25</v>
      </c>
    </row>
    <row r="12" spans="1:10">
      <c r="A12" t="s">
        <v>49</v>
      </c>
      <c r="B12" t="s">
        <v>50</v>
      </c>
      <c r="C12">
        <v>120</v>
      </c>
      <c r="D12">
        <v>250</v>
      </c>
      <c r="E12">
        <v>10</v>
      </c>
      <c r="F12">
        <v>25</v>
      </c>
      <c r="G12">
        <v>4</v>
      </c>
      <c r="H12">
        <v>12</v>
      </c>
      <c r="I12">
        <v>5</v>
      </c>
      <c r="J12">
        <v>15</v>
      </c>
    </row>
    <row r="13" spans="1:10">
      <c r="A13" t="s">
        <v>51</v>
      </c>
      <c r="B13" t="s">
        <v>52</v>
      </c>
      <c r="C13">
        <v>120</v>
      </c>
      <c r="D13">
        <v>150</v>
      </c>
      <c r="E13">
        <v>10</v>
      </c>
      <c r="F13">
        <v>15</v>
      </c>
      <c r="G13">
        <v>6</v>
      </c>
      <c r="H13">
        <v>8</v>
      </c>
      <c r="I13">
        <v>6</v>
      </c>
      <c r="J13">
        <v>9</v>
      </c>
    </row>
    <row r="14" spans="1:10">
      <c r="A14" t="s">
        <v>53</v>
      </c>
      <c r="B14" t="s">
        <v>36</v>
      </c>
      <c r="C14">
        <v>90</v>
      </c>
      <c r="D14">
        <v>130</v>
      </c>
      <c r="E14">
        <v>20</v>
      </c>
      <c r="F14">
        <v>32</v>
      </c>
      <c r="G14">
        <v>1</v>
      </c>
      <c r="H14">
        <v>2</v>
      </c>
      <c r="I14">
        <v>0</v>
      </c>
      <c r="J14">
        <v>1</v>
      </c>
    </row>
    <row r="15" spans="1:10">
      <c r="A15" t="s">
        <v>54</v>
      </c>
      <c r="B15" t="s">
        <v>36</v>
      </c>
      <c r="C15">
        <v>80</v>
      </c>
      <c r="D15">
        <v>120</v>
      </c>
      <c r="E15">
        <v>20</v>
      </c>
      <c r="F15">
        <v>32</v>
      </c>
      <c r="G15">
        <v>0</v>
      </c>
      <c r="H15">
        <v>1</v>
      </c>
      <c r="I15">
        <v>0</v>
      </c>
      <c r="J15">
        <v>1</v>
      </c>
    </row>
    <row r="16" spans="1:10">
      <c r="A16" t="s">
        <v>55</v>
      </c>
      <c r="B16" t="s">
        <v>56</v>
      </c>
      <c r="C16">
        <v>5</v>
      </c>
      <c r="D16">
        <v>20</v>
      </c>
      <c r="E16">
        <v>0</v>
      </c>
      <c r="F16">
        <v>3</v>
      </c>
      <c r="G16">
        <v>0</v>
      </c>
      <c r="H16">
        <v>1</v>
      </c>
      <c r="I16">
        <v>0</v>
      </c>
      <c r="J16">
        <v>1</v>
      </c>
    </row>
    <row r="17" spans="1:10">
      <c r="A17" t="s">
        <v>57</v>
      </c>
      <c r="B17" t="s">
        <v>56</v>
      </c>
      <c r="C17">
        <v>120</v>
      </c>
      <c r="D17">
        <v>220</v>
      </c>
      <c r="E17">
        <v>10</v>
      </c>
      <c r="F17">
        <v>25</v>
      </c>
      <c r="G17">
        <v>5</v>
      </c>
      <c r="H17">
        <v>10</v>
      </c>
      <c r="I17">
        <v>5</v>
      </c>
      <c r="J17">
        <v>12</v>
      </c>
    </row>
    <row r="18" spans="1:10">
      <c r="A18" t="s">
        <v>58</v>
      </c>
      <c r="B18" t="s">
        <v>59</v>
      </c>
      <c r="C18">
        <v>180</v>
      </c>
      <c r="D18">
        <v>300</v>
      </c>
      <c r="E18">
        <v>25</v>
      </c>
      <c r="F18">
        <v>45</v>
      </c>
      <c r="G18">
        <v>5</v>
      </c>
      <c r="H18">
        <v>10</v>
      </c>
      <c r="I18">
        <v>4</v>
      </c>
      <c r="J18">
        <v>12</v>
      </c>
    </row>
    <row r="19" spans="1:10">
      <c r="A19" t="s">
        <v>60</v>
      </c>
      <c r="B19" t="s">
        <v>42</v>
      </c>
      <c r="C19">
        <v>500</v>
      </c>
      <c r="D19">
        <v>750</v>
      </c>
      <c r="E19">
        <v>20</v>
      </c>
      <c r="F19">
        <v>40</v>
      </c>
      <c r="G19">
        <v>25</v>
      </c>
      <c r="H19">
        <v>40</v>
      </c>
      <c r="I19">
        <v>25</v>
      </c>
      <c r="J19">
        <v>45</v>
      </c>
    </row>
    <row r="20" spans="1:10">
      <c r="A20" t="s">
        <v>61</v>
      </c>
      <c r="B20" t="s">
        <v>42</v>
      </c>
      <c r="C20">
        <v>250</v>
      </c>
      <c r="D20">
        <v>450</v>
      </c>
      <c r="E20">
        <v>8</v>
      </c>
      <c r="F20">
        <v>20</v>
      </c>
      <c r="G20">
        <v>18</v>
      </c>
      <c r="H20">
        <v>30</v>
      </c>
      <c r="I20">
        <v>12</v>
      </c>
      <c r="J20">
        <v>25</v>
      </c>
    </row>
    <row r="21" spans="1:10">
      <c r="A21" t="s">
        <v>62</v>
      </c>
      <c r="B21" t="s">
        <v>63</v>
      </c>
      <c r="C21">
        <v>600</v>
      </c>
      <c r="D21">
        <v>850</v>
      </c>
      <c r="E21">
        <v>80</v>
      </c>
      <c r="F21">
        <v>115</v>
      </c>
      <c r="G21">
        <v>15</v>
      </c>
      <c r="H21">
        <v>25</v>
      </c>
      <c r="I21">
        <v>18</v>
      </c>
      <c r="J21">
        <v>32</v>
      </c>
    </row>
    <row r="22" spans="1:10">
      <c r="A22" t="s">
        <v>64</v>
      </c>
      <c r="B22" t="s">
        <v>63</v>
      </c>
      <c r="C22">
        <v>500</v>
      </c>
      <c r="D22">
        <v>750</v>
      </c>
      <c r="E22">
        <v>55</v>
      </c>
      <c r="F22">
        <v>90</v>
      </c>
      <c r="G22">
        <v>20</v>
      </c>
      <c r="H22">
        <v>35</v>
      </c>
      <c r="I22">
        <v>12</v>
      </c>
      <c r="J22">
        <v>25</v>
      </c>
    </row>
    <row r="23" spans="1:10">
      <c r="A23" t="s">
        <v>65</v>
      </c>
      <c r="B23" t="s">
        <v>42</v>
      </c>
      <c r="C23">
        <v>650</v>
      </c>
      <c r="D23">
        <v>900</v>
      </c>
      <c r="E23">
        <v>35</v>
      </c>
      <c r="F23">
        <v>60</v>
      </c>
      <c r="G23">
        <v>25</v>
      </c>
      <c r="H23">
        <v>40</v>
      </c>
      <c r="I23">
        <v>35</v>
      </c>
      <c r="J23">
        <v>55</v>
      </c>
    </row>
    <row r="24" spans="1:10">
      <c r="A24" t="s">
        <v>66</v>
      </c>
      <c r="B24" t="s">
        <v>67</v>
      </c>
      <c r="C24">
        <v>400</v>
      </c>
      <c r="D24">
        <v>650</v>
      </c>
      <c r="E24">
        <v>55</v>
      </c>
      <c r="F24">
        <v>90</v>
      </c>
      <c r="G24">
        <v>20</v>
      </c>
      <c r="H24">
        <v>35</v>
      </c>
      <c r="I24">
        <v>8</v>
      </c>
      <c r="J24">
        <v>18</v>
      </c>
    </row>
    <row r="25" spans="1:10">
      <c r="A25" t="s">
        <v>68</v>
      </c>
      <c r="B25" t="s">
        <v>63</v>
      </c>
      <c r="C25">
        <v>450</v>
      </c>
      <c r="D25">
        <v>650</v>
      </c>
      <c r="E25">
        <v>75</v>
      </c>
      <c r="F25">
        <v>105</v>
      </c>
      <c r="G25">
        <v>12</v>
      </c>
      <c r="H25">
        <v>20</v>
      </c>
      <c r="I25">
        <v>5</v>
      </c>
      <c r="J25">
        <v>12</v>
      </c>
    </row>
    <row r="26" spans="1:10">
      <c r="A26" t="s">
        <v>69</v>
      </c>
      <c r="B26" t="s">
        <v>42</v>
      </c>
      <c r="C26">
        <v>350</v>
      </c>
      <c r="D26">
        <v>650</v>
      </c>
      <c r="E26">
        <v>60</v>
      </c>
      <c r="F26">
        <v>105</v>
      </c>
      <c r="G26">
        <v>6</v>
      </c>
      <c r="H26">
        <v>12</v>
      </c>
      <c r="I26">
        <v>5</v>
      </c>
      <c r="J26">
        <v>18</v>
      </c>
    </row>
    <row r="27" spans="1:10">
      <c r="A27" t="s">
        <v>70</v>
      </c>
      <c r="B27" t="s">
        <v>63</v>
      </c>
      <c r="C27">
        <v>500</v>
      </c>
      <c r="D27">
        <v>800</v>
      </c>
      <c r="E27">
        <v>40</v>
      </c>
      <c r="F27">
        <v>70</v>
      </c>
      <c r="G27">
        <v>25</v>
      </c>
      <c r="H27">
        <v>40</v>
      </c>
      <c r="I27">
        <v>18</v>
      </c>
      <c r="J27">
        <v>35</v>
      </c>
    </row>
    <row r="28" spans="1:10">
      <c r="A28" t="s">
        <v>71</v>
      </c>
      <c r="B28" t="s">
        <v>42</v>
      </c>
      <c r="C28">
        <v>700</v>
      </c>
      <c r="D28">
        <v>1000</v>
      </c>
      <c r="E28">
        <v>20</v>
      </c>
      <c r="F28">
        <v>40</v>
      </c>
      <c r="G28">
        <v>45</v>
      </c>
      <c r="H28">
        <v>65</v>
      </c>
      <c r="I28">
        <v>25</v>
      </c>
      <c r="J28">
        <v>45</v>
      </c>
    </row>
    <row r="29" spans="1:10">
      <c r="A29" t="s">
        <v>72</v>
      </c>
      <c r="B29" t="s">
        <v>63</v>
      </c>
      <c r="C29">
        <v>500</v>
      </c>
      <c r="D29">
        <v>800</v>
      </c>
      <c r="E29">
        <v>20</v>
      </c>
      <c r="F29">
        <v>45</v>
      </c>
      <c r="G29">
        <v>30</v>
      </c>
      <c r="H29">
        <v>50</v>
      </c>
      <c r="I29">
        <v>20</v>
      </c>
      <c r="J29">
        <v>38</v>
      </c>
    </row>
    <row r="30" spans="1:10">
      <c r="A30" t="s">
        <v>73</v>
      </c>
      <c r="B30" t="s">
        <v>42</v>
      </c>
      <c r="C30">
        <v>500</v>
      </c>
      <c r="D30">
        <v>750</v>
      </c>
      <c r="E30">
        <v>65</v>
      </c>
      <c r="F30">
        <v>100</v>
      </c>
      <c r="G30">
        <v>12</v>
      </c>
      <c r="H30">
        <v>22</v>
      </c>
      <c r="I30">
        <v>15</v>
      </c>
      <c r="J30">
        <v>28</v>
      </c>
    </row>
    <row r="31" spans="1:10">
      <c r="A31" t="s">
        <v>74</v>
      </c>
      <c r="B31" t="s">
        <v>42</v>
      </c>
      <c r="C31">
        <v>550</v>
      </c>
      <c r="D31">
        <v>800</v>
      </c>
      <c r="E31">
        <v>75</v>
      </c>
      <c r="F31">
        <v>110</v>
      </c>
      <c r="G31">
        <v>12</v>
      </c>
      <c r="H31">
        <v>22</v>
      </c>
      <c r="I31">
        <v>15</v>
      </c>
      <c r="J31">
        <v>30</v>
      </c>
    </row>
    <row r="32" spans="1:10">
      <c r="A32" t="s">
        <v>75</v>
      </c>
      <c r="B32" t="s">
        <v>42</v>
      </c>
      <c r="C32">
        <v>550</v>
      </c>
      <c r="D32">
        <v>850</v>
      </c>
      <c r="E32">
        <v>70</v>
      </c>
      <c r="F32">
        <v>115</v>
      </c>
      <c r="G32">
        <v>15</v>
      </c>
      <c r="H32">
        <v>28</v>
      </c>
      <c r="I32">
        <v>18</v>
      </c>
      <c r="J32">
        <v>35</v>
      </c>
    </row>
    <row r="33" spans="1:10">
      <c r="A33" t="s">
        <v>76</v>
      </c>
      <c r="B33" t="s">
        <v>48</v>
      </c>
      <c r="C33">
        <v>220</v>
      </c>
      <c r="D33">
        <v>350</v>
      </c>
      <c r="E33">
        <v>20</v>
      </c>
      <c r="F33">
        <v>40</v>
      </c>
      <c r="G33">
        <v>8</v>
      </c>
      <c r="H33">
        <v>18</v>
      </c>
      <c r="I33">
        <v>10</v>
      </c>
      <c r="J33">
        <v>22</v>
      </c>
    </row>
    <row r="34" spans="1:10">
      <c r="A34" t="s">
        <v>77</v>
      </c>
      <c r="B34" t="s">
        <v>36</v>
      </c>
      <c r="C34">
        <v>450</v>
      </c>
      <c r="D34">
        <v>750</v>
      </c>
      <c r="E34">
        <v>35</v>
      </c>
      <c r="F34">
        <v>65</v>
      </c>
      <c r="G34">
        <v>20</v>
      </c>
      <c r="H34">
        <v>35</v>
      </c>
      <c r="I34">
        <v>20</v>
      </c>
      <c r="J34">
        <v>38</v>
      </c>
    </row>
    <row r="35" spans="1:10">
      <c r="A35" t="s">
        <v>78</v>
      </c>
      <c r="B35" t="s">
        <v>42</v>
      </c>
      <c r="C35">
        <v>280</v>
      </c>
      <c r="D35">
        <v>500</v>
      </c>
      <c r="E35">
        <v>35</v>
      </c>
      <c r="F35">
        <v>65</v>
      </c>
      <c r="G35">
        <v>4</v>
      </c>
      <c r="H35">
        <v>8</v>
      </c>
      <c r="I35">
        <v>12</v>
      </c>
      <c r="J35">
        <v>25</v>
      </c>
    </row>
    <row r="36" spans="1:10">
      <c r="A36" t="s">
        <v>79</v>
      </c>
      <c r="B36" t="s">
        <v>80</v>
      </c>
      <c r="C36">
        <v>100</v>
      </c>
      <c r="D36">
        <v>180</v>
      </c>
      <c r="E36">
        <v>12</v>
      </c>
      <c r="F36">
        <v>25</v>
      </c>
      <c r="G36">
        <v>5</v>
      </c>
      <c r="H36">
        <v>10</v>
      </c>
      <c r="I36">
        <v>2</v>
      </c>
      <c r="J36">
        <v>8</v>
      </c>
    </row>
    <row r="37" spans="1:10">
      <c r="A37" t="s">
        <v>81</v>
      </c>
      <c r="B37" t="s">
        <v>82</v>
      </c>
      <c r="C37">
        <v>170</v>
      </c>
      <c r="D37">
        <v>220</v>
      </c>
      <c r="E37">
        <v>5</v>
      </c>
      <c r="F37">
        <v>10</v>
      </c>
      <c r="G37">
        <v>5</v>
      </c>
      <c r="H37">
        <v>8</v>
      </c>
      <c r="I37">
        <v>15</v>
      </c>
      <c r="J37">
        <v>20</v>
      </c>
    </row>
    <row r="38" spans="1:10">
      <c r="A38" t="s">
        <v>83</v>
      </c>
      <c r="B38" t="s">
        <v>84</v>
      </c>
      <c r="C38">
        <v>130</v>
      </c>
      <c r="D38">
        <v>220</v>
      </c>
      <c r="E38">
        <v>28</v>
      </c>
      <c r="F38">
        <v>50</v>
      </c>
      <c r="G38">
        <v>2</v>
      </c>
      <c r="H38">
        <v>4</v>
      </c>
      <c r="I38">
        <v>0</v>
      </c>
      <c r="J38">
        <v>2</v>
      </c>
    </row>
    <row r="39" spans="1:10">
      <c r="A39" t="s">
        <v>85</v>
      </c>
      <c r="B39" t="s">
        <v>42</v>
      </c>
      <c r="C39">
        <v>180</v>
      </c>
      <c r="D39">
        <v>350</v>
      </c>
      <c r="E39">
        <v>8</v>
      </c>
      <c r="F39">
        <v>20</v>
      </c>
      <c r="G39">
        <v>12</v>
      </c>
      <c r="H39">
        <v>22</v>
      </c>
      <c r="I39">
        <v>10</v>
      </c>
      <c r="J39">
        <v>22</v>
      </c>
    </row>
    <row r="40" spans="1:10">
      <c r="A40" t="s">
        <v>86</v>
      </c>
      <c r="B40" t="s">
        <v>87</v>
      </c>
      <c r="C40">
        <v>50</v>
      </c>
      <c r="D40">
        <v>150</v>
      </c>
      <c r="E40">
        <v>5</v>
      </c>
      <c r="F40">
        <v>15</v>
      </c>
      <c r="G40">
        <v>2</v>
      </c>
      <c r="H40">
        <v>6</v>
      </c>
      <c r="I40">
        <v>2</v>
      </c>
      <c r="J40">
        <v>10</v>
      </c>
    </row>
    <row r="41" spans="1:10">
      <c r="A41" t="s">
        <v>88</v>
      </c>
      <c r="B41" t="s">
        <v>40</v>
      </c>
      <c r="C41">
        <v>450</v>
      </c>
      <c r="D41">
        <v>750</v>
      </c>
      <c r="E41">
        <v>0</v>
      </c>
      <c r="F41">
        <v>8</v>
      </c>
      <c r="G41">
        <v>45</v>
      </c>
      <c r="H41">
        <v>60</v>
      </c>
      <c r="I41">
        <v>25</v>
      </c>
      <c r="J41">
        <v>45</v>
      </c>
    </row>
    <row r="42" spans="1:10">
      <c r="A42" t="s">
        <v>89</v>
      </c>
      <c r="B42" t="s">
        <v>90</v>
      </c>
      <c r="C42">
        <v>10</v>
      </c>
      <c r="D42">
        <v>30</v>
      </c>
      <c r="E42">
        <v>2</v>
      </c>
      <c r="F42">
        <v>6</v>
      </c>
      <c r="G42">
        <v>1</v>
      </c>
      <c r="H42">
        <v>2</v>
      </c>
      <c r="I42">
        <v>0</v>
      </c>
      <c r="J42">
        <v>1</v>
      </c>
    </row>
    <row r="43" spans="1:10">
      <c r="A43" t="s">
        <v>91</v>
      </c>
      <c r="B43" t="s">
        <v>36</v>
      </c>
      <c r="C43">
        <v>60</v>
      </c>
      <c r="D43">
        <v>100</v>
      </c>
      <c r="E43">
        <v>15</v>
      </c>
      <c r="F43">
        <v>25</v>
      </c>
      <c r="G43">
        <v>1</v>
      </c>
      <c r="H43">
        <v>2</v>
      </c>
      <c r="I43">
        <v>0</v>
      </c>
      <c r="J43">
        <v>1</v>
      </c>
    </row>
    <row r="44" spans="1:10">
      <c r="A44" t="s">
        <v>92</v>
      </c>
      <c r="B44" t="s">
        <v>93</v>
      </c>
      <c r="C44">
        <v>100</v>
      </c>
      <c r="D44">
        <v>160</v>
      </c>
      <c r="E44">
        <v>8</v>
      </c>
      <c r="F44">
        <v>18</v>
      </c>
      <c r="G44">
        <v>6</v>
      </c>
      <c r="H44">
        <v>10</v>
      </c>
      <c r="I44">
        <v>4</v>
      </c>
      <c r="J44">
        <v>9</v>
      </c>
    </row>
    <row r="45" spans="1:10">
      <c r="A45" t="s">
        <v>94</v>
      </c>
      <c r="B45" t="s">
        <v>36</v>
      </c>
      <c r="C45">
        <v>70</v>
      </c>
      <c r="D45">
        <v>90</v>
      </c>
      <c r="E45">
        <v>0</v>
      </c>
      <c r="F45">
        <v>2</v>
      </c>
      <c r="G45">
        <v>6</v>
      </c>
      <c r="H45">
        <v>8</v>
      </c>
      <c r="I45">
        <v>5</v>
      </c>
      <c r="J45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9BD5"/>
  </sheetPr>
  <dimension ref="A1:J6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4.7109375" customWidth="1"/>
  </cols>
  <sheetData>
    <row r="1" spans="1:10">
      <c r="A1" s="2" t="s">
        <v>95</v>
      </c>
      <c r="B1" s="2" t="s">
        <v>96</v>
      </c>
      <c r="C1" s="2" t="s">
        <v>20</v>
      </c>
      <c r="D1" s="2" t="s">
        <v>97</v>
      </c>
      <c r="E1" s="2" t="s">
        <v>22</v>
      </c>
      <c r="F1" s="2" t="s">
        <v>23</v>
      </c>
      <c r="G1" s="2" t="s">
        <v>98</v>
      </c>
      <c r="H1" s="2" t="s">
        <v>99</v>
      </c>
      <c r="I1" s="2" t="s">
        <v>100</v>
      </c>
      <c r="J1" s="2" t="s">
        <v>101</v>
      </c>
    </row>
    <row r="2" spans="1:10">
      <c r="A2" s="3">
        <v>46259.02862343346</v>
      </c>
      <c r="B2" t="s">
        <v>102</v>
      </c>
      <c r="C2" t="s">
        <v>94</v>
      </c>
      <c r="D2">
        <v>1</v>
      </c>
      <c r="E2">
        <f>IFERROR(VLOOKUP(C2,'음식DB'!$A$2:$J$46,3,FALSE)*D2,0)</f>
        <v>0</v>
      </c>
      <c r="F2">
        <f>IFERROR(VLOOKUP(C2,'음식DB'!$A$2:$J$46,4,FALSE)*D2,0)</f>
        <v>0</v>
      </c>
      <c r="G2">
        <f>IF(C2="",0,(E2+F2)/2)</f>
        <v>0</v>
      </c>
      <c r="H2">
        <f>IFERROR((VLOOKUP(C2,'음식DB'!$A$2:$J$46,5,FALSE)+VLOOKUP(C2,'음식DB'!$A$2:$J$46,6,FALSE))/2*D2,0)</f>
        <v>0</v>
      </c>
      <c r="I2">
        <f>IFERROR((VLOOKUP(C2,'음식DB'!$A$2:$J$46,7,FALSE)+VLOOKUP(C2,'음식DB'!$A$2:$J$46,8,FALSE))/2*D2,0)</f>
        <v>0</v>
      </c>
      <c r="J2">
        <f>IFERROR((VLOOKUP(C2,'음식DB'!$A$2:$J$46,9,FALSE)+VLOOKUP(C2,'음식DB'!$A$2:$J$46,10,FALSE))/2*D2,0)</f>
        <v>0</v>
      </c>
    </row>
    <row r="3" spans="1:10">
      <c r="A3" s="3">
        <v>46259.02862343346</v>
      </c>
      <c r="B3" t="s">
        <v>103</v>
      </c>
      <c r="C3" t="s">
        <v>37</v>
      </c>
      <c r="D3">
        <v>1</v>
      </c>
      <c r="E3">
        <f>IFERROR(VLOOKUP(C3,'음식DB'!$A$2:$J$46,3,FALSE)*D3,0)</f>
        <v>0</v>
      </c>
      <c r="F3">
        <f>IFERROR(VLOOKUP(C3,'음식DB'!$A$2:$J$46,4,FALSE)*D3,0)</f>
        <v>0</v>
      </c>
      <c r="G3">
        <f>IF(C3="",0,(E3+F3)/2)</f>
        <v>0</v>
      </c>
      <c r="H3">
        <f>IFERROR((VLOOKUP(C3,'음식DB'!$A$2:$J$46,5,FALSE)+VLOOKUP(C3,'음식DB'!$A$2:$J$46,6,FALSE))/2*D3,0)</f>
        <v>0</v>
      </c>
      <c r="I3">
        <f>IFERROR((VLOOKUP(C3,'음식DB'!$A$2:$J$46,7,FALSE)+VLOOKUP(C3,'음식DB'!$A$2:$J$46,8,FALSE))/2*D3,0)</f>
        <v>0</v>
      </c>
      <c r="J3">
        <f>IFERROR((VLOOKUP(C3,'음식DB'!$A$2:$J$46,9,FALSE)+VLOOKUP(C3,'음식DB'!$A$2:$J$46,10,FALSE))/2*D3,0)</f>
        <v>0</v>
      </c>
    </row>
    <row r="4" spans="1:10">
      <c r="E4">
        <f>IFERROR(VLOOKUP(C4,'음식DB'!$A$2:$J$46,3,FALSE)*D4,0)</f>
        <v>0</v>
      </c>
      <c r="F4">
        <f>IFERROR(VLOOKUP(C4,'음식DB'!$A$2:$J$46,4,FALSE)*D4,0)</f>
        <v>0</v>
      </c>
      <c r="G4">
        <f>IF(C4="",0,(E4+F4)/2)</f>
        <v>0</v>
      </c>
      <c r="H4">
        <f>IFERROR((VLOOKUP(C4,'음식DB'!$A$2:$J$46,5,FALSE)+VLOOKUP(C4,'음식DB'!$A$2:$J$46,6,FALSE))/2*D4,0)</f>
        <v>0</v>
      </c>
      <c r="I4">
        <f>IFERROR((VLOOKUP(C4,'음식DB'!$A$2:$J$46,7,FALSE)+VLOOKUP(C4,'음식DB'!$A$2:$J$46,8,FALSE))/2*D4,0)</f>
        <v>0</v>
      </c>
      <c r="J4">
        <f>IFERROR((VLOOKUP(C4,'음식DB'!$A$2:$J$46,9,FALSE)+VLOOKUP(C4,'음식DB'!$A$2:$J$46,10,FALSE))/2*D4,0)</f>
        <v>0</v>
      </c>
    </row>
    <row r="5" spans="1:10">
      <c r="E5">
        <f>IFERROR(VLOOKUP(C5,'음식DB'!$A$2:$J$46,3,FALSE)*D5,0)</f>
        <v>0</v>
      </c>
      <c r="F5">
        <f>IFERROR(VLOOKUP(C5,'음식DB'!$A$2:$J$46,4,FALSE)*D5,0)</f>
        <v>0</v>
      </c>
      <c r="G5">
        <f>IF(C5="",0,(E5+F5)/2)</f>
        <v>0</v>
      </c>
      <c r="H5">
        <f>IFERROR((VLOOKUP(C5,'음식DB'!$A$2:$J$46,5,FALSE)+VLOOKUP(C5,'음식DB'!$A$2:$J$46,6,FALSE))/2*D5,0)</f>
        <v>0</v>
      </c>
      <c r="I5">
        <f>IFERROR((VLOOKUP(C5,'음식DB'!$A$2:$J$46,7,FALSE)+VLOOKUP(C5,'음식DB'!$A$2:$J$46,8,FALSE))/2*D5,0)</f>
        <v>0</v>
      </c>
      <c r="J5">
        <f>IFERROR((VLOOKUP(C5,'음식DB'!$A$2:$J$46,9,FALSE)+VLOOKUP(C5,'음식DB'!$A$2:$J$46,10,FALSE))/2*D5,0)</f>
        <v>0</v>
      </c>
    </row>
    <row r="6" spans="1:10">
      <c r="E6">
        <f>IFERROR(VLOOKUP(C6,'음식DB'!$A$2:$J$46,3,FALSE)*D6,0)</f>
        <v>0</v>
      </c>
      <c r="F6">
        <f>IFERROR(VLOOKUP(C6,'음식DB'!$A$2:$J$46,4,FALSE)*D6,0)</f>
        <v>0</v>
      </c>
      <c r="G6">
        <f>IF(C6="",0,(E6+F6)/2)</f>
        <v>0</v>
      </c>
      <c r="H6">
        <f>IFERROR((VLOOKUP(C6,'음식DB'!$A$2:$J$46,5,FALSE)+VLOOKUP(C6,'음식DB'!$A$2:$J$46,6,FALSE))/2*D6,0)</f>
        <v>0</v>
      </c>
      <c r="I6">
        <f>IFERROR((VLOOKUP(C6,'음식DB'!$A$2:$J$46,7,FALSE)+VLOOKUP(C6,'음식DB'!$A$2:$J$46,8,FALSE))/2*D6,0)</f>
        <v>0</v>
      </c>
      <c r="J6">
        <f>IFERROR((VLOOKUP(C6,'음식DB'!$A$2:$J$46,9,FALSE)+VLOOKUP(C6,'음식DB'!$A$2:$J$46,10,FALSE))/2*D6,0)</f>
        <v>0</v>
      </c>
    </row>
    <row r="7" spans="1:10">
      <c r="E7">
        <f>IFERROR(VLOOKUP(C7,'음식DB'!$A$2:$J$46,3,FALSE)*D7,0)</f>
        <v>0</v>
      </c>
      <c r="F7">
        <f>IFERROR(VLOOKUP(C7,'음식DB'!$A$2:$J$46,4,FALSE)*D7,0)</f>
        <v>0</v>
      </c>
      <c r="G7">
        <f>IF(C7="",0,(E7+F7)/2)</f>
        <v>0</v>
      </c>
      <c r="H7">
        <f>IFERROR((VLOOKUP(C7,'음식DB'!$A$2:$J$46,5,FALSE)+VLOOKUP(C7,'음식DB'!$A$2:$J$46,6,FALSE))/2*D7,0)</f>
        <v>0</v>
      </c>
      <c r="I7">
        <f>IFERROR((VLOOKUP(C7,'음식DB'!$A$2:$J$46,7,FALSE)+VLOOKUP(C7,'음식DB'!$A$2:$J$46,8,FALSE))/2*D7,0)</f>
        <v>0</v>
      </c>
      <c r="J7">
        <f>IFERROR((VLOOKUP(C7,'음식DB'!$A$2:$J$46,9,FALSE)+VLOOKUP(C7,'음식DB'!$A$2:$J$46,10,FALSE))/2*D7,0)</f>
        <v>0</v>
      </c>
    </row>
    <row r="8" spans="1:10">
      <c r="E8">
        <f>IFERROR(VLOOKUP(C8,'음식DB'!$A$2:$J$46,3,FALSE)*D8,0)</f>
        <v>0</v>
      </c>
      <c r="F8">
        <f>IFERROR(VLOOKUP(C8,'음식DB'!$A$2:$J$46,4,FALSE)*D8,0)</f>
        <v>0</v>
      </c>
      <c r="G8">
        <f>IF(C8="",0,(E8+F8)/2)</f>
        <v>0</v>
      </c>
      <c r="H8">
        <f>IFERROR((VLOOKUP(C8,'음식DB'!$A$2:$J$46,5,FALSE)+VLOOKUP(C8,'음식DB'!$A$2:$J$46,6,FALSE))/2*D8,0)</f>
        <v>0</v>
      </c>
      <c r="I8">
        <f>IFERROR((VLOOKUP(C8,'음식DB'!$A$2:$J$46,7,FALSE)+VLOOKUP(C8,'음식DB'!$A$2:$J$46,8,FALSE))/2*D8,0)</f>
        <v>0</v>
      </c>
      <c r="J8">
        <f>IFERROR((VLOOKUP(C8,'음식DB'!$A$2:$J$46,9,FALSE)+VLOOKUP(C8,'음식DB'!$A$2:$J$46,10,FALSE))/2*D8,0)</f>
        <v>0</v>
      </c>
    </row>
    <row r="9" spans="1:10">
      <c r="E9">
        <f>IFERROR(VLOOKUP(C9,'음식DB'!$A$2:$J$46,3,FALSE)*D9,0)</f>
        <v>0</v>
      </c>
      <c r="F9">
        <f>IFERROR(VLOOKUP(C9,'음식DB'!$A$2:$J$46,4,FALSE)*D9,0)</f>
        <v>0</v>
      </c>
      <c r="G9">
        <f>IF(C9="",0,(E9+F9)/2)</f>
        <v>0</v>
      </c>
      <c r="H9">
        <f>IFERROR((VLOOKUP(C9,'음식DB'!$A$2:$J$46,5,FALSE)+VLOOKUP(C9,'음식DB'!$A$2:$J$46,6,FALSE))/2*D9,0)</f>
        <v>0</v>
      </c>
      <c r="I9">
        <f>IFERROR((VLOOKUP(C9,'음식DB'!$A$2:$J$46,7,FALSE)+VLOOKUP(C9,'음식DB'!$A$2:$J$46,8,FALSE))/2*D9,0)</f>
        <v>0</v>
      </c>
      <c r="J9">
        <f>IFERROR((VLOOKUP(C9,'음식DB'!$A$2:$J$46,9,FALSE)+VLOOKUP(C9,'음식DB'!$A$2:$J$46,10,FALSE))/2*D9,0)</f>
        <v>0</v>
      </c>
    </row>
    <row r="10" spans="1:10">
      <c r="E10">
        <f>IFERROR(VLOOKUP(C10,'음식DB'!$A$2:$J$46,3,FALSE)*D10,0)</f>
        <v>0</v>
      </c>
      <c r="F10">
        <f>IFERROR(VLOOKUP(C10,'음식DB'!$A$2:$J$46,4,FALSE)*D10,0)</f>
        <v>0</v>
      </c>
      <c r="G10">
        <f>IF(C10="",0,(E10+F10)/2)</f>
        <v>0</v>
      </c>
      <c r="H10">
        <f>IFERROR((VLOOKUP(C10,'음식DB'!$A$2:$J$46,5,FALSE)+VLOOKUP(C10,'음식DB'!$A$2:$J$46,6,FALSE))/2*D10,0)</f>
        <v>0</v>
      </c>
      <c r="I10">
        <f>IFERROR((VLOOKUP(C10,'음식DB'!$A$2:$J$46,7,FALSE)+VLOOKUP(C10,'음식DB'!$A$2:$J$46,8,FALSE))/2*D10,0)</f>
        <v>0</v>
      </c>
      <c r="J10">
        <f>IFERROR((VLOOKUP(C10,'음식DB'!$A$2:$J$46,9,FALSE)+VLOOKUP(C10,'음식DB'!$A$2:$J$46,10,FALSE))/2*D10,0)</f>
        <v>0</v>
      </c>
    </row>
    <row r="11" spans="1:10">
      <c r="E11">
        <f>IFERROR(VLOOKUP(C11,'음식DB'!$A$2:$J$46,3,FALSE)*D11,0)</f>
        <v>0</v>
      </c>
      <c r="F11">
        <f>IFERROR(VLOOKUP(C11,'음식DB'!$A$2:$J$46,4,FALSE)*D11,0)</f>
        <v>0</v>
      </c>
      <c r="G11">
        <f>IF(C11="",0,(E11+F11)/2)</f>
        <v>0</v>
      </c>
      <c r="H11">
        <f>IFERROR((VLOOKUP(C11,'음식DB'!$A$2:$J$46,5,FALSE)+VLOOKUP(C11,'음식DB'!$A$2:$J$46,6,FALSE))/2*D11,0)</f>
        <v>0</v>
      </c>
      <c r="I11">
        <f>IFERROR((VLOOKUP(C11,'음식DB'!$A$2:$J$46,7,FALSE)+VLOOKUP(C11,'음식DB'!$A$2:$J$46,8,FALSE))/2*D11,0)</f>
        <v>0</v>
      </c>
      <c r="J11">
        <f>IFERROR((VLOOKUP(C11,'음식DB'!$A$2:$J$46,9,FALSE)+VLOOKUP(C11,'음식DB'!$A$2:$J$46,10,FALSE))/2*D11,0)</f>
        <v>0</v>
      </c>
    </row>
    <row r="12" spans="1:10">
      <c r="E12">
        <f>IFERROR(VLOOKUP(C12,'음식DB'!$A$2:$J$46,3,FALSE)*D12,0)</f>
        <v>0</v>
      </c>
      <c r="F12">
        <f>IFERROR(VLOOKUP(C12,'음식DB'!$A$2:$J$46,4,FALSE)*D12,0)</f>
        <v>0</v>
      </c>
      <c r="G12">
        <f>IF(C12="",0,(E12+F12)/2)</f>
        <v>0</v>
      </c>
      <c r="H12">
        <f>IFERROR((VLOOKUP(C12,'음식DB'!$A$2:$J$46,5,FALSE)+VLOOKUP(C12,'음식DB'!$A$2:$J$46,6,FALSE))/2*D12,0)</f>
        <v>0</v>
      </c>
      <c r="I12">
        <f>IFERROR((VLOOKUP(C12,'음식DB'!$A$2:$J$46,7,FALSE)+VLOOKUP(C12,'음식DB'!$A$2:$J$46,8,FALSE))/2*D12,0)</f>
        <v>0</v>
      </c>
      <c r="J12">
        <f>IFERROR((VLOOKUP(C12,'음식DB'!$A$2:$J$46,9,FALSE)+VLOOKUP(C12,'음식DB'!$A$2:$J$46,10,FALSE))/2*D12,0)</f>
        <v>0</v>
      </c>
    </row>
    <row r="13" spans="1:10">
      <c r="E13">
        <f>IFERROR(VLOOKUP(C13,'음식DB'!$A$2:$J$46,3,FALSE)*D13,0)</f>
        <v>0</v>
      </c>
      <c r="F13">
        <f>IFERROR(VLOOKUP(C13,'음식DB'!$A$2:$J$46,4,FALSE)*D13,0)</f>
        <v>0</v>
      </c>
      <c r="G13">
        <f>IF(C13="",0,(E13+F13)/2)</f>
        <v>0</v>
      </c>
      <c r="H13">
        <f>IFERROR((VLOOKUP(C13,'음식DB'!$A$2:$J$46,5,FALSE)+VLOOKUP(C13,'음식DB'!$A$2:$J$46,6,FALSE))/2*D13,0)</f>
        <v>0</v>
      </c>
      <c r="I13">
        <f>IFERROR((VLOOKUP(C13,'음식DB'!$A$2:$J$46,7,FALSE)+VLOOKUP(C13,'음식DB'!$A$2:$J$46,8,FALSE))/2*D13,0)</f>
        <v>0</v>
      </c>
      <c r="J13">
        <f>IFERROR((VLOOKUP(C13,'음식DB'!$A$2:$J$46,9,FALSE)+VLOOKUP(C13,'음식DB'!$A$2:$J$46,10,FALSE))/2*D13,0)</f>
        <v>0</v>
      </c>
    </row>
    <row r="14" spans="1:10">
      <c r="E14">
        <f>IFERROR(VLOOKUP(C14,'음식DB'!$A$2:$J$46,3,FALSE)*D14,0)</f>
        <v>0</v>
      </c>
      <c r="F14">
        <f>IFERROR(VLOOKUP(C14,'음식DB'!$A$2:$J$46,4,FALSE)*D14,0)</f>
        <v>0</v>
      </c>
      <c r="G14">
        <f>IF(C14="",0,(E14+F14)/2)</f>
        <v>0</v>
      </c>
      <c r="H14">
        <f>IFERROR((VLOOKUP(C14,'음식DB'!$A$2:$J$46,5,FALSE)+VLOOKUP(C14,'음식DB'!$A$2:$J$46,6,FALSE))/2*D14,0)</f>
        <v>0</v>
      </c>
      <c r="I14">
        <f>IFERROR((VLOOKUP(C14,'음식DB'!$A$2:$J$46,7,FALSE)+VLOOKUP(C14,'음식DB'!$A$2:$J$46,8,FALSE))/2*D14,0)</f>
        <v>0</v>
      </c>
      <c r="J14">
        <f>IFERROR((VLOOKUP(C14,'음식DB'!$A$2:$J$46,9,FALSE)+VLOOKUP(C14,'음식DB'!$A$2:$J$46,10,FALSE))/2*D14,0)</f>
        <v>0</v>
      </c>
    </row>
    <row r="15" spans="1:10">
      <c r="E15">
        <f>IFERROR(VLOOKUP(C15,'음식DB'!$A$2:$J$46,3,FALSE)*D15,0)</f>
        <v>0</v>
      </c>
      <c r="F15">
        <f>IFERROR(VLOOKUP(C15,'음식DB'!$A$2:$J$46,4,FALSE)*D15,0)</f>
        <v>0</v>
      </c>
      <c r="G15">
        <f>IF(C15="",0,(E15+F15)/2)</f>
        <v>0</v>
      </c>
      <c r="H15">
        <f>IFERROR((VLOOKUP(C15,'음식DB'!$A$2:$J$46,5,FALSE)+VLOOKUP(C15,'음식DB'!$A$2:$J$46,6,FALSE))/2*D15,0)</f>
        <v>0</v>
      </c>
      <c r="I15">
        <f>IFERROR((VLOOKUP(C15,'음식DB'!$A$2:$J$46,7,FALSE)+VLOOKUP(C15,'음식DB'!$A$2:$J$46,8,FALSE))/2*D15,0)</f>
        <v>0</v>
      </c>
      <c r="J15">
        <f>IFERROR((VLOOKUP(C15,'음식DB'!$A$2:$J$46,9,FALSE)+VLOOKUP(C15,'음식DB'!$A$2:$J$46,10,FALSE))/2*D15,0)</f>
        <v>0</v>
      </c>
    </row>
    <row r="16" spans="1:10">
      <c r="E16">
        <f>IFERROR(VLOOKUP(C16,'음식DB'!$A$2:$J$46,3,FALSE)*D16,0)</f>
        <v>0</v>
      </c>
      <c r="F16">
        <f>IFERROR(VLOOKUP(C16,'음식DB'!$A$2:$J$46,4,FALSE)*D16,0)</f>
        <v>0</v>
      </c>
      <c r="G16">
        <f>IF(C16="",0,(E16+F16)/2)</f>
        <v>0</v>
      </c>
      <c r="H16">
        <f>IFERROR((VLOOKUP(C16,'음식DB'!$A$2:$J$46,5,FALSE)+VLOOKUP(C16,'음식DB'!$A$2:$J$46,6,FALSE))/2*D16,0)</f>
        <v>0</v>
      </c>
      <c r="I16">
        <f>IFERROR((VLOOKUP(C16,'음식DB'!$A$2:$J$46,7,FALSE)+VLOOKUP(C16,'음식DB'!$A$2:$J$46,8,FALSE))/2*D16,0)</f>
        <v>0</v>
      </c>
      <c r="J16">
        <f>IFERROR((VLOOKUP(C16,'음식DB'!$A$2:$J$46,9,FALSE)+VLOOKUP(C16,'음식DB'!$A$2:$J$46,10,FALSE))/2*D16,0)</f>
        <v>0</v>
      </c>
    </row>
    <row r="17" spans="5:10">
      <c r="E17">
        <f>IFERROR(VLOOKUP(C17,'음식DB'!$A$2:$J$46,3,FALSE)*D17,0)</f>
        <v>0</v>
      </c>
      <c r="F17">
        <f>IFERROR(VLOOKUP(C17,'음식DB'!$A$2:$J$46,4,FALSE)*D17,0)</f>
        <v>0</v>
      </c>
      <c r="G17">
        <f>IF(C17="",0,(E17+F17)/2)</f>
        <v>0</v>
      </c>
      <c r="H17">
        <f>IFERROR((VLOOKUP(C17,'음식DB'!$A$2:$J$46,5,FALSE)+VLOOKUP(C17,'음식DB'!$A$2:$J$46,6,FALSE))/2*D17,0)</f>
        <v>0</v>
      </c>
      <c r="I17">
        <f>IFERROR((VLOOKUP(C17,'음식DB'!$A$2:$J$46,7,FALSE)+VLOOKUP(C17,'음식DB'!$A$2:$J$46,8,FALSE))/2*D17,0)</f>
        <v>0</v>
      </c>
      <c r="J17">
        <f>IFERROR((VLOOKUP(C17,'음식DB'!$A$2:$J$46,9,FALSE)+VLOOKUP(C17,'음식DB'!$A$2:$J$46,10,FALSE))/2*D17,0)</f>
        <v>0</v>
      </c>
    </row>
    <row r="18" spans="5:10">
      <c r="E18">
        <f>IFERROR(VLOOKUP(C18,'음식DB'!$A$2:$J$46,3,FALSE)*D18,0)</f>
        <v>0</v>
      </c>
      <c r="F18">
        <f>IFERROR(VLOOKUP(C18,'음식DB'!$A$2:$J$46,4,FALSE)*D18,0)</f>
        <v>0</v>
      </c>
      <c r="G18">
        <f>IF(C18="",0,(E18+F18)/2)</f>
        <v>0</v>
      </c>
      <c r="H18">
        <f>IFERROR((VLOOKUP(C18,'음식DB'!$A$2:$J$46,5,FALSE)+VLOOKUP(C18,'음식DB'!$A$2:$J$46,6,FALSE))/2*D18,0)</f>
        <v>0</v>
      </c>
      <c r="I18">
        <f>IFERROR((VLOOKUP(C18,'음식DB'!$A$2:$J$46,7,FALSE)+VLOOKUP(C18,'음식DB'!$A$2:$J$46,8,FALSE))/2*D18,0)</f>
        <v>0</v>
      </c>
      <c r="J18">
        <f>IFERROR((VLOOKUP(C18,'음식DB'!$A$2:$J$46,9,FALSE)+VLOOKUP(C18,'음식DB'!$A$2:$J$46,10,FALSE))/2*D18,0)</f>
        <v>0</v>
      </c>
    </row>
    <row r="19" spans="5:10">
      <c r="E19">
        <f>IFERROR(VLOOKUP(C19,'음식DB'!$A$2:$J$46,3,FALSE)*D19,0)</f>
        <v>0</v>
      </c>
      <c r="F19">
        <f>IFERROR(VLOOKUP(C19,'음식DB'!$A$2:$J$46,4,FALSE)*D19,0)</f>
        <v>0</v>
      </c>
      <c r="G19">
        <f>IF(C19="",0,(E19+F19)/2)</f>
        <v>0</v>
      </c>
      <c r="H19">
        <f>IFERROR((VLOOKUP(C19,'음식DB'!$A$2:$J$46,5,FALSE)+VLOOKUP(C19,'음식DB'!$A$2:$J$46,6,FALSE))/2*D19,0)</f>
        <v>0</v>
      </c>
      <c r="I19">
        <f>IFERROR((VLOOKUP(C19,'음식DB'!$A$2:$J$46,7,FALSE)+VLOOKUP(C19,'음식DB'!$A$2:$J$46,8,FALSE))/2*D19,0)</f>
        <v>0</v>
      </c>
      <c r="J19">
        <f>IFERROR((VLOOKUP(C19,'음식DB'!$A$2:$J$46,9,FALSE)+VLOOKUP(C19,'음식DB'!$A$2:$J$46,10,FALSE))/2*D19,0)</f>
        <v>0</v>
      </c>
    </row>
    <row r="20" spans="5:10">
      <c r="E20">
        <f>IFERROR(VLOOKUP(C20,'음식DB'!$A$2:$J$46,3,FALSE)*D20,0)</f>
        <v>0</v>
      </c>
      <c r="F20">
        <f>IFERROR(VLOOKUP(C20,'음식DB'!$A$2:$J$46,4,FALSE)*D20,0)</f>
        <v>0</v>
      </c>
      <c r="G20">
        <f>IF(C20="",0,(E20+F20)/2)</f>
        <v>0</v>
      </c>
      <c r="H20">
        <f>IFERROR((VLOOKUP(C20,'음식DB'!$A$2:$J$46,5,FALSE)+VLOOKUP(C20,'음식DB'!$A$2:$J$46,6,FALSE))/2*D20,0)</f>
        <v>0</v>
      </c>
      <c r="I20">
        <f>IFERROR((VLOOKUP(C20,'음식DB'!$A$2:$J$46,7,FALSE)+VLOOKUP(C20,'음식DB'!$A$2:$J$46,8,FALSE))/2*D20,0)</f>
        <v>0</v>
      </c>
      <c r="J20">
        <f>IFERROR((VLOOKUP(C20,'음식DB'!$A$2:$J$46,9,FALSE)+VLOOKUP(C20,'음식DB'!$A$2:$J$46,10,FALSE))/2*D20,0)</f>
        <v>0</v>
      </c>
    </row>
    <row r="21" spans="5:10">
      <c r="E21">
        <f>IFERROR(VLOOKUP(C21,'음식DB'!$A$2:$J$46,3,FALSE)*D21,0)</f>
        <v>0</v>
      </c>
      <c r="F21">
        <f>IFERROR(VLOOKUP(C21,'음식DB'!$A$2:$J$46,4,FALSE)*D21,0)</f>
        <v>0</v>
      </c>
      <c r="G21">
        <f>IF(C21="",0,(E21+F21)/2)</f>
        <v>0</v>
      </c>
      <c r="H21">
        <f>IFERROR((VLOOKUP(C21,'음식DB'!$A$2:$J$46,5,FALSE)+VLOOKUP(C21,'음식DB'!$A$2:$J$46,6,FALSE))/2*D21,0)</f>
        <v>0</v>
      </c>
      <c r="I21">
        <f>IFERROR((VLOOKUP(C21,'음식DB'!$A$2:$J$46,7,FALSE)+VLOOKUP(C21,'음식DB'!$A$2:$J$46,8,FALSE))/2*D21,0)</f>
        <v>0</v>
      </c>
      <c r="J21">
        <f>IFERROR((VLOOKUP(C21,'음식DB'!$A$2:$J$46,9,FALSE)+VLOOKUP(C21,'음식DB'!$A$2:$J$46,10,FALSE))/2*D21,0)</f>
        <v>0</v>
      </c>
    </row>
    <row r="22" spans="5:10">
      <c r="E22">
        <f>IFERROR(VLOOKUP(C22,'음식DB'!$A$2:$J$46,3,FALSE)*D22,0)</f>
        <v>0</v>
      </c>
      <c r="F22">
        <f>IFERROR(VLOOKUP(C22,'음식DB'!$A$2:$J$46,4,FALSE)*D22,0)</f>
        <v>0</v>
      </c>
      <c r="G22">
        <f>IF(C22="",0,(E22+F22)/2)</f>
        <v>0</v>
      </c>
      <c r="H22">
        <f>IFERROR((VLOOKUP(C22,'음식DB'!$A$2:$J$46,5,FALSE)+VLOOKUP(C22,'음식DB'!$A$2:$J$46,6,FALSE))/2*D22,0)</f>
        <v>0</v>
      </c>
      <c r="I22">
        <f>IFERROR((VLOOKUP(C22,'음식DB'!$A$2:$J$46,7,FALSE)+VLOOKUP(C22,'음식DB'!$A$2:$J$46,8,FALSE))/2*D22,0)</f>
        <v>0</v>
      </c>
      <c r="J22">
        <f>IFERROR((VLOOKUP(C22,'음식DB'!$A$2:$J$46,9,FALSE)+VLOOKUP(C22,'음식DB'!$A$2:$J$46,10,FALSE))/2*D22,0)</f>
        <v>0</v>
      </c>
    </row>
    <row r="23" spans="5:10">
      <c r="E23">
        <f>IFERROR(VLOOKUP(C23,'음식DB'!$A$2:$J$46,3,FALSE)*D23,0)</f>
        <v>0</v>
      </c>
      <c r="F23">
        <f>IFERROR(VLOOKUP(C23,'음식DB'!$A$2:$J$46,4,FALSE)*D23,0)</f>
        <v>0</v>
      </c>
      <c r="G23">
        <f>IF(C23="",0,(E23+F23)/2)</f>
        <v>0</v>
      </c>
      <c r="H23">
        <f>IFERROR((VLOOKUP(C23,'음식DB'!$A$2:$J$46,5,FALSE)+VLOOKUP(C23,'음식DB'!$A$2:$J$46,6,FALSE))/2*D23,0)</f>
        <v>0</v>
      </c>
      <c r="I23">
        <f>IFERROR((VLOOKUP(C23,'음식DB'!$A$2:$J$46,7,FALSE)+VLOOKUP(C23,'음식DB'!$A$2:$J$46,8,FALSE))/2*D23,0)</f>
        <v>0</v>
      </c>
      <c r="J23">
        <f>IFERROR((VLOOKUP(C23,'음식DB'!$A$2:$J$46,9,FALSE)+VLOOKUP(C23,'음식DB'!$A$2:$J$46,10,FALSE))/2*D23,0)</f>
        <v>0</v>
      </c>
    </row>
    <row r="24" spans="5:10">
      <c r="E24">
        <f>IFERROR(VLOOKUP(C24,'음식DB'!$A$2:$J$46,3,FALSE)*D24,0)</f>
        <v>0</v>
      </c>
      <c r="F24">
        <f>IFERROR(VLOOKUP(C24,'음식DB'!$A$2:$J$46,4,FALSE)*D24,0)</f>
        <v>0</v>
      </c>
      <c r="G24">
        <f>IF(C24="",0,(E24+F24)/2)</f>
        <v>0</v>
      </c>
      <c r="H24">
        <f>IFERROR((VLOOKUP(C24,'음식DB'!$A$2:$J$46,5,FALSE)+VLOOKUP(C24,'음식DB'!$A$2:$J$46,6,FALSE))/2*D24,0)</f>
        <v>0</v>
      </c>
      <c r="I24">
        <f>IFERROR((VLOOKUP(C24,'음식DB'!$A$2:$J$46,7,FALSE)+VLOOKUP(C24,'음식DB'!$A$2:$J$46,8,FALSE))/2*D24,0)</f>
        <v>0</v>
      </c>
      <c r="J24">
        <f>IFERROR((VLOOKUP(C24,'음식DB'!$A$2:$J$46,9,FALSE)+VLOOKUP(C24,'음식DB'!$A$2:$J$46,10,FALSE))/2*D24,0)</f>
        <v>0</v>
      </c>
    </row>
    <row r="25" spans="5:10">
      <c r="E25">
        <f>IFERROR(VLOOKUP(C25,'음식DB'!$A$2:$J$46,3,FALSE)*D25,0)</f>
        <v>0</v>
      </c>
      <c r="F25">
        <f>IFERROR(VLOOKUP(C25,'음식DB'!$A$2:$J$46,4,FALSE)*D25,0)</f>
        <v>0</v>
      </c>
      <c r="G25">
        <f>IF(C25="",0,(E25+F25)/2)</f>
        <v>0</v>
      </c>
      <c r="H25">
        <f>IFERROR((VLOOKUP(C25,'음식DB'!$A$2:$J$46,5,FALSE)+VLOOKUP(C25,'음식DB'!$A$2:$J$46,6,FALSE))/2*D25,0)</f>
        <v>0</v>
      </c>
      <c r="I25">
        <f>IFERROR((VLOOKUP(C25,'음식DB'!$A$2:$J$46,7,FALSE)+VLOOKUP(C25,'음식DB'!$A$2:$J$46,8,FALSE))/2*D25,0)</f>
        <v>0</v>
      </c>
      <c r="J25">
        <f>IFERROR((VLOOKUP(C25,'음식DB'!$A$2:$J$46,9,FALSE)+VLOOKUP(C25,'음식DB'!$A$2:$J$46,10,FALSE))/2*D25,0)</f>
        <v>0</v>
      </c>
    </row>
    <row r="26" spans="5:10">
      <c r="E26">
        <f>IFERROR(VLOOKUP(C26,'음식DB'!$A$2:$J$46,3,FALSE)*D26,0)</f>
        <v>0</v>
      </c>
      <c r="F26">
        <f>IFERROR(VLOOKUP(C26,'음식DB'!$A$2:$J$46,4,FALSE)*D26,0)</f>
        <v>0</v>
      </c>
      <c r="G26">
        <f>IF(C26="",0,(E26+F26)/2)</f>
        <v>0</v>
      </c>
      <c r="H26">
        <f>IFERROR((VLOOKUP(C26,'음식DB'!$A$2:$J$46,5,FALSE)+VLOOKUP(C26,'음식DB'!$A$2:$J$46,6,FALSE))/2*D26,0)</f>
        <v>0</v>
      </c>
      <c r="I26">
        <f>IFERROR((VLOOKUP(C26,'음식DB'!$A$2:$J$46,7,FALSE)+VLOOKUP(C26,'음식DB'!$A$2:$J$46,8,FALSE))/2*D26,0)</f>
        <v>0</v>
      </c>
      <c r="J26">
        <f>IFERROR((VLOOKUP(C26,'음식DB'!$A$2:$J$46,9,FALSE)+VLOOKUP(C26,'음식DB'!$A$2:$J$46,10,FALSE))/2*D26,0)</f>
        <v>0</v>
      </c>
    </row>
    <row r="27" spans="5:10">
      <c r="E27">
        <f>IFERROR(VLOOKUP(C27,'음식DB'!$A$2:$J$46,3,FALSE)*D27,0)</f>
        <v>0</v>
      </c>
      <c r="F27">
        <f>IFERROR(VLOOKUP(C27,'음식DB'!$A$2:$J$46,4,FALSE)*D27,0)</f>
        <v>0</v>
      </c>
      <c r="G27">
        <f>IF(C27="",0,(E27+F27)/2)</f>
        <v>0</v>
      </c>
      <c r="H27">
        <f>IFERROR((VLOOKUP(C27,'음식DB'!$A$2:$J$46,5,FALSE)+VLOOKUP(C27,'음식DB'!$A$2:$J$46,6,FALSE))/2*D27,0)</f>
        <v>0</v>
      </c>
      <c r="I27">
        <f>IFERROR((VLOOKUP(C27,'음식DB'!$A$2:$J$46,7,FALSE)+VLOOKUP(C27,'음식DB'!$A$2:$J$46,8,FALSE))/2*D27,0)</f>
        <v>0</v>
      </c>
      <c r="J27">
        <f>IFERROR((VLOOKUP(C27,'음식DB'!$A$2:$J$46,9,FALSE)+VLOOKUP(C27,'음식DB'!$A$2:$J$46,10,FALSE))/2*D27,0)</f>
        <v>0</v>
      </c>
    </row>
    <row r="28" spans="5:10">
      <c r="E28">
        <f>IFERROR(VLOOKUP(C28,'음식DB'!$A$2:$J$46,3,FALSE)*D28,0)</f>
        <v>0</v>
      </c>
      <c r="F28">
        <f>IFERROR(VLOOKUP(C28,'음식DB'!$A$2:$J$46,4,FALSE)*D28,0)</f>
        <v>0</v>
      </c>
      <c r="G28">
        <f>IF(C28="",0,(E28+F28)/2)</f>
        <v>0</v>
      </c>
      <c r="H28">
        <f>IFERROR((VLOOKUP(C28,'음식DB'!$A$2:$J$46,5,FALSE)+VLOOKUP(C28,'음식DB'!$A$2:$J$46,6,FALSE))/2*D28,0)</f>
        <v>0</v>
      </c>
      <c r="I28">
        <f>IFERROR((VLOOKUP(C28,'음식DB'!$A$2:$J$46,7,FALSE)+VLOOKUP(C28,'음식DB'!$A$2:$J$46,8,FALSE))/2*D28,0)</f>
        <v>0</v>
      </c>
      <c r="J28">
        <f>IFERROR((VLOOKUP(C28,'음식DB'!$A$2:$J$46,9,FALSE)+VLOOKUP(C28,'음식DB'!$A$2:$J$46,10,FALSE))/2*D28,0)</f>
        <v>0</v>
      </c>
    </row>
    <row r="29" spans="5:10">
      <c r="E29">
        <f>IFERROR(VLOOKUP(C29,'음식DB'!$A$2:$J$46,3,FALSE)*D29,0)</f>
        <v>0</v>
      </c>
      <c r="F29">
        <f>IFERROR(VLOOKUP(C29,'음식DB'!$A$2:$J$46,4,FALSE)*D29,0)</f>
        <v>0</v>
      </c>
      <c r="G29">
        <f>IF(C29="",0,(E29+F29)/2)</f>
        <v>0</v>
      </c>
      <c r="H29">
        <f>IFERROR((VLOOKUP(C29,'음식DB'!$A$2:$J$46,5,FALSE)+VLOOKUP(C29,'음식DB'!$A$2:$J$46,6,FALSE))/2*D29,0)</f>
        <v>0</v>
      </c>
      <c r="I29">
        <f>IFERROR((VLOOKUP(C29,'음식DB'!$A$2:$J$46,7,FALSE)+VLOOKUP(C29,'음식DB'!$A$2:$J$46,8,FALSE))/2*D29,0)</f>
        <v>0</v>
      </c>
      <c r="J29">
        <f>IFERROR((VLOOKUP(C29,'음식DB'!$A$2:$J$46,9,FALSE)+VLOOKUP(C29,'음식DB'!$A$2:$J$46,10,FALSE))/2*D29,0)</f>
        <v>0</v>
      </c>
    </row>
    <row r="30" spans="5:10">
      <c r="E30">
        <f>IFERROR(VLOOKUP(C30,'음식DB'!$A$2:$J$46,3,FALSE)*D30,0)</f>
        <v>0</v>
      </c>
      <c r="F30">
        <f>IFERROR(VLOOKUP(C30,'음식DB'!$A$2:$J$46,4,FALSE)*D30,0)</f>
        <v>0</v>
      </c>
      <c r="G30">
        <f>IF(C30="",0,(E30+F30)/2)</f>
        <v>0</v>
      </c>
      <c r="H30">
        <f>IFERROR((VLOOKUP(C30,'음식DB'!$A$2:$J$46,5,FALSE)+VLOOKUP(C30,'음식DB'!$A$2:$J$46,6,FALSE))/2*D30,0)</f>
        <v>0</v>
      </c>
      <c r="I30">
        <f>IFERROR((VLOOKUP(C30,'음식DB'!$A$2:$J$46,7,FALSE)+VLOOKUP(C30,'음식DB'!$A$2:$J$46,8,FALSE))/2*D30,0)</f>
        <v>0</v>
      </c>
      <c r="J30">
        <f>IFERROR((VLOOKUP(C30,'음식DB'!$A$2:$J$46,9,FALSE)+VLOOKUP(C30,'음식DB'!$A$2:$J$46,10,FALSE))/2*D30,0)</f>
        <v>0</v>
      </c>
    </row>
    <row r="31" spans="5:10">
      <c r="E31">
        <f>IFERROR(VLOOKUP(C31,'음식DB'!$A$2:$J$46,3,FALSE)*D31,0)</f>
        <v>0</v>
      </c>
      <c r="F31">
        <f>IFERROR(VLOOKUP(C31,'음식DB'!$A$2:$J$46,4,FALSE)*D31,0)</f>
        <v>0</v>
      </c>
      <c r="G31">
        <f>IF(C31="",0,(E31+F31)/2)</f>
        <v>0</v>
      </c>
      <c r="H31">
        <f>IFERROR((VLOOKUP(C31,'음식DB'!$A$2:$J$46,5,FALSE)+VLOOKUP(C31,'음식DB'!$A$2:$J$46,6,FALSE))/2*D31,0)</f>
        <v>0</v>
      </c>
      <c r="I31">
        <f>IFERROR((VLOOKUP(C31,'음식DB'!$A$2:$J$46,7,FALSE)+VLOOKUP(C31,'음식DB'!$A$2:$J$46,8,FALSE))/2*D31,0)</f>
        <v>0</v>
      </c>
      <c r="J31">
        <f>IFERROR((VLOOKUP(C31,'음식DB'!$A$2:$J$46,9,FALSE)+VLOOKUP(C31,'음식DB'!$A$2:$J$46,10,FALSE))/2*D31,0)</f>
        <v>0</v>
      </c>
    </row>
    <row r="32" spans="5:10">
      <c r="E32">
        <f>IFERROR(VLOOKUP(C32,'음식DB'!$A$2:$J$46,3,FALSE)*D32,0)</f>
        <v>0</v>
      </c>
      <c r="F32">
        <f>IFERROR(VLOOKUP(C32,'음식DB'!$A$2:$J$46,4,FALSE)*D32,0)</f>
        <v>0</v>
      </c>
      <c r="G32">
        <f>IF(C32="",0,(E32+F32)/2)</f>
        <v>0</v>
      </c>
      <c r="H32">
        <f>IFERROR((VLOOKUP(C32,'음식DB'!$A$2:$J$46,5,FALSE)+VLOOKUP(C32,'음식DB'!$A$2:$J$46,6,FALSE))/2*D32,0)</f>
        <v>0</v>
      </c>
      <c r="I32">
        <f>IFERROR((VLOOKUP(C32,'음식DB'!$A$2:$J$46,7,FALSE)+VLOOKUP(C32,'음식DB'!$A$2:$J$46,8,FALSE))/2*D32,0)</f>
        <v>0</v>
      </c>
      <c r="J32">
        <f>IFERROR((VLOOKUP(C32,'음식DB'!$A$2:$J$46,9,FALSE)+VLOOKUP(C32,'음식DB'!$A$2:$J$46,10,FALSE))/2*D32,0)</f>
        <v>0</v>
      </c>
    </row>
    <row r="33" spans="5:10">
      <c r="E33">
        <f>IFERROR(VLOOKUP(C33,'음식DB'!$A$2:$J$46,3,FALSE)*D33,0)</f>
        <v>0</v>
      </c>
      <c r="F33">
        <f>IFERROR(VLOOKUP(C33,'음식DB'!$A$2:$J$46,4,FALSE)*D33,0)</f>
        <v>0</v>
      </c>
      <c r="G33">
        <f>IF(C33="",0,(E33+F33)/2)</f>
        <v>0</v>
      </c>
      <c r="H33">
        <f>IFERROR((VLOOKUP(C33,'음식DB'!$A$2:$J$46,5,FALSE)+VLOOKUP(C33,'음식DB'!$A$2:$J$46,6,FALSE))/2*D33,0)</f>
        <v>0</v>
      </c>
      <c r="I33">
        <f>IFERROR((VLOOKUP(C33,'음식DB'!$A$2:$J$46,7,FALSE)+VLOOKUP(C33,'음식DB'!$A$2:$J$46,8,FALSE))/2*D33,0)</f>
        <v>0</v>
      </c>
      <c r="J33">
        <f>IFERROR((VLOOKUP(C33,'음식DB'!$A$2:$J$46,9,FALSE)+VLOOKUP(C33,'음식DB'!$A$2:$J$46,10,FALSE))/2*D33,0)</f>
        <v>0</v>
      </c>
    </row>
    <row r="34" spans="5:10">
      <c r="E34">
        <f>IFERROR(VLOOKUP(C34,'음식DB'!$A$2:$J$46,3,FALSE)*D34,0)</f>
        <v>0</v>
      </c>
      <c r="F34">
        <f>IFERROR(VLOOKUP(C34,'음식DB'!$A$2:$J$46,4,FALSE)*D34,0)</f>
        <v>0</v>
      </c>
      <c r="G34">
        <f>IF(C34="",0,(E34+F34)/2)</f>
        <v>0</v>
      </c>
      <c r="H34">
        <f>IFERROR((VLOOKUP(C34,'음식DB'!$A$2:$J$46,5,FALSE)+VLOOKUP(C34,'음식DB'!$A$2:$J$46,6,FALSE))/2*D34,0)</f>
        <v>0</v>
      </c>
      <c r="I34">
        <f>IFERROR((VLOOKUP(C34,'음식DB'!$A$2:$J$46,7,FALSE)+VLOOKUP(C34,'음식DB'!$A$2:$J$46,8,FALSE))/2*D34,0)</f>
        <v>0</v>
      </c>
      <c r="J34">
        <f>IFERROR((VLOOKUP(C34,'음식DB'!$A$2:$J$46,9,FALSE)+VLOOKUP(C34,'음식DB'!$A$2:$J$46,10,FALSE))/2*D34,0)</f>
        <v>0</v>
      </c>
    </row>
    <row r="35" spans="5:10">
      <c r="E35">
        <f>IFERROR(VLOOKUP(C35,'음식DB'!$A$2:$J$46,3,FALSE)*D35,0)</f>
        <v>0</v>
      </c>
      <c r="F35">
        <f>IFERROR(VLOOKUP(C35,'음식DB'!$A$2:$J$46,4,FALSE)*D35,0)</f>
        <v>0</v>
      </c>
      <c r="G35">
        <f>IF(C35="",0,(E35+F35)/2)</f>
        <v>0</v>
      </c>
      <c r="H35">
        <f>IFERROR((VLOOKUP(C35,'음식DB'!$A$2:$J$46,5,FALSE)+VLOOKUP(C35,'음식DB'!$A$2:$J$46,6,FALSE))/2*D35,0)</f>
        <v>0</v>
      </c>
      <c r="I35">
        <f>IFERROR((VLOOKUP(C35,'음식DB'!$A$2:$J$46,7,FALSE)+VLOOKUP(C35,'음식DB'!$A$2:$J$46,8,FALSE))/2*D35,0)</f>
        <v>0</v>
      </c>
      <c r="J35">
        <f>IFERROR((VLOOKUP(C35,'음식DB'!$A$2:$J$46,9,FALSE)+VLOOKUP(C35,'음식DB'!$A$2:$J$46,10,FALSE))/2*D35,0)</f>
        <v>0</v>
      </c>
    </row>
    <row r="36" spans="5:10">
      <c r="E36">
        <f>IFERROR(VLOOKUP(C36,'음식DB'!$A$2:$J$46,3,FALSE)*D36,0)</f>
        <v>0</v>
      </c>
      <c r="F36">
        <f>IFERROR(VLOOKUP(C36,'음식DB'!$A$2:$J$46,4,FALSE)*D36,0)</f>
        <v>0</v>
      </c>
      <c r="G36">
        <f>IF(C36="",0,(E36+F36)/2)</f>
        <v>0</v>
      </c>
      <c r="H36">
        <f>IFERROR((VLOOKUP(C36,'음식DB'!$A$2:$J$46,5,FALSE)+VLOOKUP(C36,'음식DB'!$A$2:$J$46,6,FALSE))/2*D36,0)</f>
        <v>0</v>
      </c>
      <c r="I36">
        <f>IFERROR((VLOOKUP(C36,'음식DB'!$A$2:$J$46,7,FALSE)+VLOOKUP(C36,'음식DB'!$A$2:$J$46,8,FALSE))/2*D36,0)</f>
        <v>0</v>
      </c>
      <c r="J36">
        <f>IFERROR((VLOOKUP(C36,'음식DB'!$A$2:$J$46,9,FALSE)+VLOOKUP(C36,'음식DB'!$A$2:$J$46,10,FALSE))/2*D36,0)</f>
        <v>0</v>
      </c>
    </row>
    <row r="37" spans="5:10">
      <c r="E37">
        <f>IFERROR(VLOOKUP(C37,'음식DB'!$A$2:$J$46,3,FALSE)*D37,0)</f>
        <v>0</v>
      </c>
      <c r="F37">
        <f>IFERROR(VLOOKUP(C37,'음식DB'!$A$2:$J$46,4,FALSE)*D37,0)</f>
        <v>0</v>
      </c>
      <c r="G37">
        <f>IF(C37="",0,(E37+F37)/2)</f>
        <v>0</v>
      </c>
      <c r="H37">
        <f>IFERROR((VLOOKUP(C37,'음식DB'!$A$2:$J$46,5,FALSE)+VLOOKUP(C37,'음식DB'!$A$2:$J$46,6,FALSE))/2*D37,0)</f>
        <v>0</v>
      </c>
      <c r="I37">
        <f>IFERROR((VLOOKUP(C37,'음식DB'!$A$2:$J$46,7,FALSE)+VLOOKUP(C37,'음식DB'!$A$2:$J$46,8,FALSE))/2*D37,0)</f>
        <v>0</v>
      </c>
      <c r="J37">
        <f>IFERROR((VLOOKUP(C37,'음식DB'!$A$2:$J$46,9,FALSE)+VLOOKUP(C37,'음식DB'!$A$2:$J$46,10,FALSE))/2*D37,0)</f>
        <v>0</v>
      </c>
    </row>
    <row r="38" spans="5:10">
      <c r="E38">
        <f>IFERROR(VLOOKUP(C38,'음식DB'!$A$2:$J$46,3,FALSE)*D38,0)</f>
        <v>0</v>
      </c>
      <c r="F38">
        <f>IFERROR(VLOOKUP(C38,'음식DB'!$A$2:$J$46,4,FALSE)*D38,0)</f>
        <v>0</v>
      </c>
      <c r="G38">
        <f>IF(C38="",0,(E38+F38)/2)</f>
        <v>0</v>
      </c>
      <c r="H38">
        <f>IFERROR((VLOOKUP(C38,'음식DB'!$A$2:$J$46,5,FALSE)+VLOOKUP(C38,'음식DB'!$A$2:$J$46,6,FALSE))/2*D38,0)</f>
        <v>0</v>
      </c>
      <c r="I38">
        <f>IFERROR((VLOOKUP(C38,'음식DB'!$A$2:$J$46,7,FALSE)+VLOOKUP(C38,'음식DB'!$A$2:$J$46,8,FALSE))/2*D38,0)</f>
        <v>0</v>
      </c>
      <c r="J38">
        <f>IFERROR((VLOOKUP(C38,'음식DB'!$A$2:$J$46,9,FALSE)+VLOOKUP(C38,'음식DB'!$A$2:$J$46,10,FALSE))/2*D38,0)</f>
        <v>0</v>
      </c>
    </row>
    <row r="39" spans="5:10">
      <c r="E39">
        <f>IFERROR(VLOOKUP(C39,'음식DB'!$A$2:$J$46,3,FALSE)*D39,0)</f>
        <v>0</v>
      </c>
      <c r="F39">
        <f>IFERROR(VLOOKUP(C39,'음식DB'!$A$2:$J$46,4,FALSE)*D39,0)</f>
        <v>0</v>
      </c>
      <c r="G39">
        <f>IF(C39="",0,(E39+F39)/2)</f>
        <v>0</v>
      </c>
      <c r="H39">
        <f>IFERROR((VLOOKUP(C39,'음식DB'!$A$2:$J$46,5,FALSE)+VLOOKUP(C39,'음식DB'!$A$2:$J$46,6,FALSE))/2*D39,0)</f>
        <v>0</v>
      </c>
      <c r="I39">
        <f>IFERROR((VLOOKUP(C39,'음식DB'!$A$2:$J$46,7,FALSE)+VLOOKUP(C39,'음식DB'!$A$2:$J$46,8,FALSE))/2*D39,0)</f>
        <v>0</v>
      </c>
      <c r="J39">
        <f>IFERROR((VLOOKUP(C39,'음식DB'!$A$2:$J$46,9,FALSE)+VLOOKUP(C39,'음식DB'!$A$2:$J$46,10,FALSE))/2*D39,0)</f>
        <v>0</v>
      </c>
    </row>
    <row r="40" spans="5:10">
      <c r="E40">
        <f>IFERROR(VLOOKUP(C40,'음식DB'!$A$2:$J$46,3,FALSE)*D40,0)</f>
        <v>0</v>
      </c>
      <c r="F40">
        <f>IFERROR(VLOOKUP(C40,'음식DB'!$A$2:$J$46,4,FALSE)*D40,0)</f>
        <v>0</v>
      </c>
      <c r="G40">
        <f>IF(C40="",0,(E40+F40)/2)</f>
        <v>0</v>
      </c>
      <c r="H40">
        <f>IFERROR((VLOOKUP(C40,'음식DB'!$A$2:$J$46,5,FALSE)+VLOOKUP(C40,'음식DB'!$A$2:$J$46,6,FALSE))/2*D40,0)</f>
        <v>0</v>
      </c>
      <c r="I40">
        <f>IFERROR((VLOOKUP(C40,'음식DB'!$A$2:$J$46,7,FALSE)+VLOOKUP(C40,'음식DB'!$A$2:$J$46,8,FALSE))/2*D40,0)</f>
        <v>0</v>
      </c>
      <c r="J40">
        <f>IFERROR((VLOOKUP(C40,'음식DB'!$A$2:$J$46,9,FALSE)+VLOOKUP(C40,'음식DB'!$A$2:$J$46,10,FALSE))/2*D40,0)</f>
        <v>0</v>
      </c>
    </row>
    <row r="41" spans="5:10">
      <c r="E41">
        <f>IFERROR(VLOOKUP(C41,'음식DB'!$A$2:$J$46,3,FALSE)*D41,0)</f>
        <v>0</v>
      </c>
      <c r="F41">
        <f>IFERROR(VLOOKUP(C41,'음식DB'!$A$2:$J$46,4,FALSE)*D41,0)</f>
        <v>0</v>
      </c>
      <c r="G41">
        <f>IF(C41="",0,(E41+F41)/2)</f>
        <v>0</v>
      </c>
      <c r="H41">
        <f>IFERROR((VLOOKUP(C41,'음식DB'!$A$2:$J$46,5,FALSE)+VLOOKUP(C41,'음식DB'!$A$2:$J$46,6,FALSE))/2*D41,0)</f>
        <v>0</v>
      </c>
      <c r="I41">
        <f>IFERROR((VLOOKUP(C41,'음식DB'!$A$2:$J$46,7,FALSE)+VLOOKUP(C41,'음식DB'!$A$2:$J$46,8,FALSE))/2*D41,0)</f>
        <v>0</v>
      </c>
      <c r="J41">
        <f>IFERROR((VLOOKUP(C41,'음식DB'!$A$2:$J$46,9,FALSE)+VLOOKUP(C41,'음식DB'!$A$2:$J$46,10,FALSE))/2*D41,0)</f>
        <v>0</v>
      </c>
    </row>
    <row r="42" spans="5:10">
      <c r="E42">
        <f>IFERROR(VLOOKUP(C42,'음식DB'!$A$2:$J$46,3,FALSE)*D42,0)</f>
        <v>0</v>
      </c>
      <c r="F42">
        <f>IFERROR(VLOOKUP(C42,'음식DB'!$A$2:$J$46,4,FALSE)*D42,0)</f>
        <v>0</v>
      </c>
      <c r="G42">
        <f>IF(C42="",0,(E42+F42)/2)</f>
        <v>0</v>
      </c>
      <c r="H42">
        <f>IFERROR((VLOOKUP(C42,'음식DB'!$A$2:$J$46,5,FALSE)+VLOOKUP(C42,'음식DB'!$A$2:$J$46,6,FALSE))/2*D42,0)</f>
        <v>0</v>
      </c>
      <c r="I42">
        <f>IFERROR((VLOOKUP(C42,'음식DB'!$A$2:$J$46,7,FALSE)+VLOOKUP(C42,'음식DB'!$A$2:$J$46,8,FALSE))/2*D42,0)</f>
        <v>0</v>
      </c>
      <c r="J42">
        <f>IFERROR((VLOOKUP(C42,'음식DB'!$A$2:$J$46,9,FALSE)+VLOOKUP(C42,'음식DB'!$A$2:$J$46,10,FALSE))/2*D42,0)</f>
        <v>0</v>
      </c>
    </row>
    <row r="43" spans="5:10">
      <c r="E43">
        <f>IFERROR(VLOOKUP(C43,'음식DB'!$A$2:$J$46,3,FALSE)*D43,0)</f>
        <v>0</v>
      </c>
      <c r="F43">
        <f>IFERROR(VLOOKUP(C43,'음식DB'!$A$2:$J$46,4,FALSE)*D43,0)</f>
        <v>0</v>
      </c>
      <c r="G43">
        <f>IF(C43="",0,(E43+F43)/2)</f>
        <v>0</v>
      </c>
      <c r="H43">
        <f>IFERROR((VLOOKUP(C43,'음식DB'!$A$2:$J$46,5,FALSE)+VLOOKUP(C43,'음식DB'!$A$2:$J$46,6,FALSE))/2*D43,0)</f>
        <v>0</v>
      </c>
      <c r="I43">
        <f>IFERROR((VLOOKUP(C43,'음식DB'!$A$2:$J$46,7,FALSE)+VLOOKUP(C43,'음식DB'!$A$2:$J$46,8,FALSE))/2*D43,0)</f>
        <v>0</v>
      </c>
      <c r="J43">
        <f>IFERROR((VLOOKUP(C43,'음식DB'!$A$2:$J$46,9,FALSE)+VLOOKUP(C43,'음식DB'!$A$2:$J$46,10,FALSE))/2*D43,0)</f>
        <v>0</v>
      </c>
    </row>
    <row r="44" spans="5:10">
      <c r="E44">
        <f>IFERROR(VLOOKUP(C44,'음식DB'!$A$2:$J$46,3,FALSE)*D44,0)</f>
        <v>0</v>
      </c>
      <c r="F44">
        <f>IFERROR(VLOOKUP(C44,'음식DB'!$A$2:$J$46,4,FALSE)*D44,0)</f>
        <v>0</v>
      </c>
      <c r="G44">
        <f>IF(C44="",0,(E44+F44)/2)</f>
        <v>0</v>
      </c>
      <c r="H44">
        <f>IFERROR((VLOOKUP(C44,'음식DB'!$A$2:$J$46,5,FALSE)+VLOOKUP(C44,'음식DB'!$A$2:$J$46,6,FALSE))/2*D44,0)</f>
        <v>0</v>
      </c>
      <c r="I44">
        <f>IFERROR((VLOOKUP(C44,'음식DB'!$A$2:$J$46,7,FALSE)+VLOOKUP(C44,'음식DB'!$A$2:$J$46,8,FALSE))/2*D44,0)</f>
        <v>0</v>
      </c>
      <c r="J44">
        <f>IFERROR((VLOOKUP(C44,'음식DB'!$A$2:$J$46,9,FALSE)+VLOOKUP(C44,'음식DB'!$A$2:$J$46,10,FALSE))/2*D44,0)</f>
        <v>0</v>
      </c>
    </row>
    <row r="45" spans="5:10">
      <c r="E45">
        <f>IFERROR(VLOOKUP(C45,'음식DB'!$A$2:$J$46,3,FALSE)*D45,0)</f>
        <v>0</v>
      </c>
      <c r="F45">
        <f>IFERROR(VLOOKUP(C45,'음식DB'!$A$2:$J$46,4,FALSE)*D45,0)</f>
        <v>0</v>
      </c>
      <c r="G45">
        <f>IF(C45="",0,(E45+F45)/2)</f>
        <v>0</v>
      </c>
      <c r="H45">
        <f>IFERROR((VLOOKUP(C45,'음식DB'!$A$2:$J$46,5,FALSE)+VLOOKUP(C45,'음식DB'!$A$2:$J$46,6,FALSE))/2*D45,0)</f>
        <v>0</v>
      </c>
      <c r="I45">
        <f>IFERROR((VLOOKUP(C45,'음식DB'!$A$2:$J$46,7,FALSE)+VLOOKUP(C45,'음식DB'!$A$2:$J$46,8,FALSE))/2*D45,0)</f>
        <v>0</v>
      </c>
      <c r="J45">
        <f>IFERROR((VLOOKUP(C45,'음식DB'!$A$2:$J$46,9,FALSE)+VLOOKUP(C45,'음식DB'!$A$2:$J$46,10,FALSE))/2*D45,0)</f>
        <v>0</v>
      </c>
    </row>
    <row r="46" spans="5:10">
      <c r="E46">
        <f>IFERROR(VLOOKUP(C46,'음식DB'!$A$2:$J$46,3,FALSE)*D46,0)</f>
        <v>0</v>
      </c>
      <c r="F46">
        <f>IFERROR(VLOOKUP(C46,'음식DB'!$A$2:$J$46,4,FALSE)*D46,0)</f>
        <v>0</v>
      </c>
      <c r="G46">
        <f>IF(C46="",0,(E46+F46)/2)</f>
        <v>0</v>
      </c>
      <c r="H46">
        <f>IFERROR((VLOOKUP(C46,'음식DB'!$A$2:$J$46,5,FALSE)+VLOOKUP(C46,'음식DB'!$A$2:$J$46,6,FALSE))/2*D46,0)</f>
        <v>0</v>
      </c>
      <c r="I46">
        <f>IFERROR((VLOOKUP(C46,'음식DB'!$A$2:$J$46,7,FALSE)+VLOOKUP(C46,'음식DB'!$A$2:$J$46,8,FALSE))/2*D46,0)</f>
        <v>0</v>
      </c>
      <c r="J46">
        <f>IFERROR((VLOOKUP(C46,'음식DB'!$A$2:$J$46,9,FALSE)+VLOOKUP(C46,'음식DB'!$A$2:$J$46,10,FALSE))/2*D46,0)</f>
        <v>0</v>
      </c>
    </row>
    <row r="47" spans="5:10">
      <c r="E47">
        <f>IFERROR(VLOOKUP(C47,'음식DB'!$A$2:$J$46,3,FALSE)*D47,0)</f>
        <v>0</v>
      </c>
      <c r="F47">
        <f>IFERROR(VLOOKUP(C47,'음식DB'!$A$2:$J$46,4,FALSE)*D47,0)</f>
        <v>0</v>
      </c>
      <c r="G47">
        <f>IF(C47="",0,(E47+F47)/2)</f>
        <v>0</v>
      </c>
      <c r="H47">
        <f>IFERROR((VLOOKUP(C47,'음식DB'!$A$2:$J$46,5,FALSE)+VLOOKUP(C47,'음식DB'!$A$2:$J$46,6,FALSE))/2*D47,0)</f>
        <v>0</v>
      </c>
      <c r="I47">
        <f>IFERROR((VLOOKUP(C47,'음식DB'!$A$2:$J$46,7,FALSE)+VLOOKUP(C47,'음식DB'!$A$2:$J$46,8,FALSE))/2*D47,0)</f>
        <v>0</v>
      </c>
      <c r="J47">
        <f>IFERROR((VLOOKUP(C47,'음식DB'!$A$2:$J$46,9,FALSE)+VLOOKUP(C47,'음식DB'!$A$2:$J$46,10,FALSE))/2*D47,0)</f>
        <v>0</v>
      </c>
    </row>
    <row r="48" spans="5:10">
      <c r="E48">
        <f>IFERROR(VLOOKUP(C48,'음식DB'!$A$2:$J$46,3,FALSE)*D48,0)</f>
        <v>0</v>
      </c>
      <c r="F48">
        <f>IFERROR(VLOOKUP(C48,'음식DB'!$A$2:$J$46,4,FALSE)*D48,0)</f>
        <v>0</v>
      </c>
      <c r="G48">
        <f>IF(C48="",0,(E48+F48)/2)</f>
        <v>0</v>
      </c>
      <c r="H48">
        <f>IFERROR((VLOOKUP(C48,'음식DB'!$A$2:$J$46,5,FALSE)+VLOOKUP(C48,'음식DB'!$A$2:$J$46,6,FALSE))/2*D48,0)</f>
        <v>0</v>
      </c>
      <c r="I48">
        <f>IFERROR((VLOOKUP(C48,'음식DB'!$A$2:$J$46,7,FALSE)+VLOOKUP(C48,'음식DB'!$A$2:$J$46,8,FALSE))/2*D48,0)</f>
        <v>0</v>
      </c>
      <c r="J48">
        <f>IFERROR((VLOOKUP(C48,'음식DB'!$A$2:$J$46,9,FALSE)+VLOOKUP(C48,'음식DB'!$A$2:$J$46,10,FALSE))/2*D48,0)</f>
        <v>0</v>
      </c>
    </row>
    <row r="49" spans="5:10">
      <c r="E49">
        <f>IFERROR(VLOOKUP(C49,'음식DB'!$A$2:$J$46,3,FALSE)*D49,0)</f>
        <v>0</v>
      </c>
      <c r="F49">
        <f>IFERROR(VLOOKUP(C49,'음식DB'!$A$2:$J$46,4,FALSE)*D49,0)</f>
        <v>0</v>
      </c>
      <c r="G49">
        <f>IF(C49="",0,(E49+F49)/2)</f>
        <v>0</v>
      </c>
      <c r="H49">
        <f>IFERROR((VLOOKUP(C49,'음식DB'!$A$2:$J$46,5,FALSE)+VLOOKUP(C49,'음식DB'!$A$2:$J$46,6,FALSE))/2*D49,0)</f>
        <v>0</v>
      </c>
      <c r="I49">
        <f>IFERROR((VLOOKUP(C49,'음식DB'!$A$2:$J$46,7,FALSE)+VLOOKUP(C49,'음식DB'!$A$2:$J$46,8,FALSE))/2*D49,0)</f>
        <v>0</v>
      </c>
      <c r="J49">
        <f>IFERROR((VLOOKUP(C49,'음식DB'!$A$2:$J$46,9,FALSE)+VLOOKUP(C49,'음식DB'!$A$2:$J$46,10,FALSE))/2*D49,0)</f>
        <v>0</v>
      </c>
    </row>
    <row r="50" spans="5:10">
      <c r="E50">
        <f>IFERROR(VLOOKUP(C50,'음식DB'!$A$2:$J$46,3,FALSE)*D50,0)</f>
        <v>0</v>
      </c>
      <c r="F50">
        <f>IFERROR(VLOOKUP(C50,'음식DB'!$A$2:$J$46,4,FALSE)*D50,0)</f>
        <v>0</v>
      </c>
      <c r="G50">
        <f>IF(C50="",0,(E50+F50)/2)</f>
        <v>0</v>
      </c>
      <c r="H50">
        <f>IFERROR((VLOOKUP(C50,'음식DB'!$A$2:$J$46,5,FALSE)+VLOOKUP(C50,'음식DB'!$A$2:$J$46,6,FALSE))/2*D50,0)</f>
        <v>0</v>
      </c>
      <c r="I50">
        <f>IFERROR((VLOOKUP(C50,'음식DB'!$A$2:$J$46,7,FALSE)+VLOOKUP(C50,'음식DB'!$A$2:$J$46,8,FALSE))/2*D50,0)</f>
        <v>0</v>
      </c>
      <c r="J50">
        <f>IFERROR((VLOOKUP(C50,'음식DB'!$A$2:$J$46,9,FALSE)+VLOOKUP(C50,'음식DB'!$A$2:$J$46,10,FALSE))/2*D50,0)</f>
        <v>0</v>
      </c>
    </row>
    <row r="51" spans="5:10">
      <c r="E51">
        <f>IFERROR(VLOOKUP(C51,'음식DB'!$A$2:$J$46,3,FALSE)*D51,0)</f>
        <v>0</v>
      </c>
      <c r="F51">
        <f>IFERROR(VLOOKUP(C51,'음식DB'!$A$2:$J$46,4,FALSE)*D51,0)</f>
        <v>0</v>
      </c>
      <c r="G51">
        <f>IF(C51="",0,(E51+F51)/2)</f>
        <v>0</v>
      </c>
      <c r="H51">
        <f>IFERROR((VLOOKUP(C51,'음식DB'!$A$2:$J$46,5,FALSE)+VLOOKUP(C51,'음식DB'!$A$2:$J$46,6,FALSE))/2*D51,0)</f>
        <v>0</v>
      </c>
      <c r="I51">
        <f>IFERROR((VLOOKUP(C51,'음식DB'!$A$2:$J$46,7,FALSE)+VLOOKUP(C51,'음식DB'!$A$2:$J$46,8,FALSE))/2*D51,0)</f>
        <v>0</v>
      </c>
      <c r="J51">
        <f>IFERROR((VLOOKUP(C51,'음식DB'!$A$2:$J$46,9,FALSE)+VLOOKUP(C51,'음식DB'!$A$2:$J$46,10,FALSE))/2*D51,0)</f>
        <v>0</v>
      </c>
    </row>
    <row r="52" spans="5:10">
      <c r="E52">
        <f>IFERROR(VLOOKUP(C52,'음식DB'!$A$2:$J$46,3,FALSE)*D52,0)</f>
        <v>0</v>
      </c>
      <c r="F52">
        <f>IFERROR(VLOOKUP(C52,'음식DB'!$A$2:$J$46,4,FALSE)*D52,0)</f>
        <v>0</v>
      </c>
      <c r="G52">
        <f>IF(C52="",0,(E52+F52)/2)</f>
        <v>0</v>
      </c>
      <c r="H52">
        <f>IFERROR((VLOOKUP(C52,'음식DB'!$A$2:$J$46,5,FALSE)+VLOOKUP(C52,'음식DB'!$A$2:$J$46,6,FALSE))/2*D52,0)</f>
        <v>0</v>
      </c>
      <c r="I52">
        <f>IFERROR((VLOOKUP(C52,'음식DB'!$A$2:$J$46,7,FALSE)+VLOOKUP(C52,'음식DB'!$A$2:$J$46,8,FALSE))/2*D52,0)</f>
        <v>0</v>
      </c>
      <c r="J52">
        <f>IFERROR((VLOOKUP(C52,'음식DB'!$A$2:$J$46,9,FALSE)+VLOOKUP(C52,'음식DB'!$A$2:$J$46,10,FALSE))/2*D52,0)</f>
        <v>0</v>
      </c>
    </row>
    <row r="53" spans="5:10">
      <c r="E53">
        <f>IFERROR(VLOOKUP(C53,'음식DB'!$A$2:$J$46,3,FALSE)*D53,0)</f>
        <v>0</v>
      </c>
      <c r="F53">
        <f>IFERROR(VLOOKUP(C53,'음식DB'!$A$2:$J$46,4,FALSE)*D53,0)</f>
        <v>0</v>
      </c>
      <c r="G53">
        <f>IF(C53="",0,(E53+F53)/2)</f>
        <v>0</v>
      </c>
      <c r="H53">
        <f>IFERROR((VLOOKUP(C53,'음식DB'!$A$2:$J$46,5,FALSE)+VLOOKUP(C53,'음식DB'!$A$2:$J$46,6,FALSE))/2*D53,0)</f>
        <v>0</v>
      </c>
      <c r="I53">
        <f>IFERROR((VLOOKUP(C53,'음식DB'!$A$2:$J$46,7,FALSE)+VLOOKUP(C53,'음식DB'!$A$2:$J$46,8,FALSE))/2*D53,0)</f>
        <v>0</v>
      </c>
      <c r="J53">
        <f>IFERROR((VLOOKUP(C53,'음식DB'!$A$2:$J$46,9,FALSE)+VLOOKUP(C53,'음식DB'!$A$2:$J$46,10,FALSE))/2*D53,0)</f>
        <v>0</v>
      </c>
    </row>
    <row r="54" spans="5:10">
      <c r="E54">
        <f>IFERROR(VLOOKUP(C54,'음식DB'!$A$2:$J$46,3,FALSE)*D54,0)</f>
        <v>0</v>
      </c>
      <c r="F54">
        <f>IFERROR(VLOOKUP(C54,'음식DB'!$A$2:$J$46,4,FALSE)*D54,0)</f>
        <v>0</v>
      </c>
      <c r="G54">
        <f>IF(C54="",0,(E54+F54)/2)</f>
        <v>0</v>
      </c>
      <c r="H54">
        <f>IFERROR((VLOOKUP(C54,'음식DB'!$A$2:$J$46,5,FALSE)+VLOOKUP(C54,'음식DB'!$A$2:$J$46,6,FALSE))/2*D54,0)</f>
        <v>0</v>
      </c>
      <c r="I54">
        <f>IFERROR((VLOOKUP(C54,'음식DB'!$A$2:$J$46,7,FALSE)+VLOOKUP(C54,'음식DB'!$A$2:$J$46,8,FALSE))/2*D54,0)</f>
        <v>0</v>
      </c>
      <c r="J54">
        <f>IFERROR((VLOOKUP(C54,'음식DB'!$A$2:$J$46,9,FALSE)+VLOOKUP(C54,'음식DB'!$A$2:$J$46,10,FALSE))/2*D54,0)</f>
        <v>0</v>
      </c>
    </row>
    <row r="55" spans="5:10">
      <c r="E55">
        <f>IFERROR(VLOOKUP(C55,'음식DB'!$A$2:$J$46,3,FALSE)*D55,0)</f>
        <v>0</v>
      </c>
      <c r="F55">
        <f>IFERROR(VLOOKUP(C55,'음식DB'!$A$2:$J$46,4,FALSE)*D55,0)</f>
        <v>0</v>
      </c>
      <c r="G55">
        <f>IF(C55="",0,(E55+F55)/2)</f>
        <v>0</v>
      </c>
      <c r="H55">
        <f>IFERROR((VLOOKUP(C55,'음식DB'!$A$2:$J$46,5,FALSE)+VLOOKUP(C55,'음식DB'!$A$2:$J$46,6,FALSE))/2*D55,0)</f>
        <v>0</v>
      </c>
      <c r="I55">
        <f>IFERROR((VLOOKUP(C55,'음식DB'!$A$2:$J$46,7,FALSE)+VLOOKUP(C55,'음식DB'!$A$2:$J$46,8,FALSE))/2*D55,0)</f>
        <v>0</v>
      </c>
      <c r="J55">
        <f>IFERROR((VLOOKUP(C55,'음식DB'!$A$2:$J$46,9,FALSE)+VLOOKUP(C55,'음식DB'!$A$2:$J$46,10,FALSE))/2*D55,0)</f>
        <v>0</v>
      </c>
    </row>
    <row r="56" spans="5:10">
      <c r="E56">
        <f>IFERROR(VLOOKUP(C56,'음식DB'!$A$2:$J$46,3,FALSE)*D56,0)</f>
        <v>0</v>
      </c>
      <c r="F56">
        <f>IFERROR(VLOOKUP(C56,'음식DB'!$A$2:$J$46,4,FALSE)*D56,0)</f>
        <v>0</v>
      </c>
      <c r="G56">
        <f>IF(C56="",0,(E56+F56)/2)</f>
        <v>0</v>
      </c>
      <c r="H56">
        <f>IFERROR((VLOOKUP(C56,'음식DB'!$A$2:$J$46,5,FALSE)+VLOOKUP(C56,'음식DB'!$A$2:$J$46,6,FALSE))/2*D56,0)</f>
        <v>0</v>
      </c>
      <c r="I56">
        <f>IFERROR((VLOOKUP(C56,'음식DB'!$A$2:$J$46,7,FALSE)+VLOOKUP(C56,'음식DB'!$A$2:$J$46,8,FALSE))/2*D56,0)</f>
        <v>0</v>
      </c>
      <c r="J56">
        <f>IFERROR((VLOOKUP(C56,'음식DB'!$A$2:$J$46,9,FALSE)+VLOOKUP(C56,'음식DB'!$A$2:$J$46,10,FALSE))/2*D56,0)</f>
        <v>0</v>
      </c>
    </row>
    <row r="57" spans="5:10">
      <c r="E57">
        <f>IFERROR(VLOOKUP(C57,'음식DB'!$A$2:$J$46,3,FALSE)*D57,0)</f>
        <v>0</v>
      </c>
      <c r="F57">
        <f>IFERROR(VLOOKUP(C57,'음식DB'!$A$2:$J$46,4,FALSE)*D57,0)</f>
        <v>0</v>
      </c>
      <c r="G57">
        <f>IF(C57="",0,(E57+F57)/2)</f>
        <v>0</v>
      </c>
      <c r="H57">
        <f>IFERROR((VLOOKUP(C57,'음식DB'!$A$2:$J$46,5,FALSE)+VLOOKUP(C57,'음식DB'!$A$2:$J$46,6,FALSE))/2*D57,0)</f>
        <v>0</v>
      </c>
      <c r="I57">
        <f>IFERROR((VLOOKUP(C57,'음식DB'!$A$2:$J$46,7,FALSE)+VLOOKUP(C57,'음식DB'!$A$2:$J$46,8,FALSE))/2*D57,0)</f>
        <v>0</v>
      </c>
      <c r="J57">
        <f>IFERROR((VLOOKUP(C57,'음식DB'!$A$2:$J$46,9,FALSE)+VLOOKUP(C57,'음식DB'!$A$2:$J$46,10,FALSE))/2*D57,0)</f>
        <v>0</v>
      </c>
    </row>
    <row r="58" spans="5:10">
      <c r="E58">
        <f>IFERROR(VLOOKUP(C58,'음식DB'!$A$2:$J$46,3,FALSE)*D58,0)</f>
        <v>0</v>
      </c>
      <c r="F58">
        <f>IFERROR(VLOOKUP(C58,'음식DB'!$A$2:$J$46,4,FALSE)*D58,0)</f>
        <v>0</v>
      </c>
      <c r="G58">
        <f>IF(C58="",0,(E58+F58)/2)</f>
        <v>0</v>
      </c>
      <c r="H58">
        <f>IFERROR((VLOOKUP(C58,'음식DB'!$A$2:$J$46,5,FALSE)+VLOOKUP(C58,'음식DB'!$A$2:$J$46,6,FALSE))/2*D58,0)</f>
        <v>0</v>
      </c>
      <c r="I58">
        <f>IFERROR((VLOOKUP(C58,'음식DB'!$A$2:$J$46,7,FALSE)+VLOOKUP(C58,'음식DB'!$A$2:$J$46,8,FALSE))/2*D58,0)</f>
        <v>0</v>
      </c>
      <c r="J58">
        <f>IFERROR((VLOOKUP(C58,'음식DB'!$A$2:$J$46,9,FALSE)+VLOOKUP(C58,'음식DB'!$A$2:$J$46,10,FALSE))/2*D58,0)</f>
        <v>0</v>
      </c>
    </row>
    <row r="59" spans="5:10">
      <c r="E59">
        <f>IFERROR(VLOOKUP(C59,'음식DB'!$A$2:$J$46,3,FALSE)*D59,0)</f>
        <v>0</v>
      </c>
      <c r="F59">
        <f>IFERROR(VLOOKUP(C59,'음식DB'!$A$2:$J$46,4,FALSE)*D59,0)</f>
        <v>0</v>
      </c>
      <c r="G59">
        <f>IF(C59="",0,(E59+F59)/2)</f>
        <v>0</v>
      </c>
      <c r="H59">
        <f>IFERROR((VLOOKUP(C59,'음식DB'!$A$2:$J$46,5,FALSE)+VLOOKUP(C59,'음식DB'!$A$2:$J$46,6,FALSE))/2*D59,0)</f>
        <v>0</v>
      </c>
      <c r="I59">
        <f>IFERROR((VLOOKUP(C59,'음식DB'!$A$2:$J$46,7,FALSE)+VLOOKUP(C59,'음식DB'!$A$2:$J$46,8,FALSE))/2*D59,0)</f>
        <v>0</v>
      </c>
      <c r="J59">
        <f>IFERROR((VLOOKUP(C59,'음식DB'!$A$2:$J$46,9,FALSE)+VLOOKUP(C59,'음식DB'!$A$2:$J$46,10,FALSE))/2*D59,0)</f>
        <v>0</v>
      </c>
    </row>
    <row r="60" spans="5:10">
      <c r="E60">
        <f>IFERROR(VLOOKUP(C60,'음식DB'!$A$2:$J$46,3,FALSE)*D60,0)</f>
        <v>0</v>
      </c>
      <c r="F60">
        <f>IFERROR(VLOOKUP(C60,'음식DB'!$A$2:$J$46,4,FALSE)*D60,0)</f>
        <v>0</v>
      </c>
      <c r="G60">
        <f>IF(C60="",0,(E60+F60)/2)</f>
        <v>0</v>
      </c>
      <c r="H60">
        <f>IFERROR((VLOOKUP(C60,'음식DB'!$A$2:$J$46,5,FALSE)+VLOOKUP(C60,'음식DB'!$A$2:$J$46,6,FALSE))/2*D60,0)</f>
        <v>0</v>
      </c>
      <c r="I60">
        <f>IFERROR((VLOOKUP(C60,'음식DB'!$A$2:$J$46,7,FALSE)+VLOOKUP(C60,'음식DB'!$A$2:$J$46,8,FALSE))/2*D60,0)</f>
        <v>0</v>
      </c>
      <c r="J60">
        <f>IFERROR((VLOOKUP(C60,'음식DB'!$A$2:$J$46,9,FALSE)+VLOOKUP(C60,'음식DB'!$A$2:$J$46,10,FALSE))/2*D60,0)</f>
        <v>0</v>
      </c>
    </row>
    <row r="61" spans="5:10">
      <c r="E61">
        <f>IFERROR(VLOOKUP(C61,'음식DB'!$A$2:$J$46,3,FALSE)*D61,0)</f>
        <v>0</v>
      </c>
      <c r="F61">
        <f>IFERROR(VLOOKUP(C61,'음식DB'!$A$2:$J$46,4,FALSE)*D61,0)</f>
        <v>0</v>
      </c>
      <c r="G61">
        <f>IF(C61="",0,(E61+F61)/2)</f>
        <v>0</v>
      </c>
      <c r="H61">
        <f>IFERROR((VLOOKUP(C61,'음식DB'!$A$2:$J$46,5,FALSE)+VLOOKUP(C61,'음식DB'!$A$2:$J$46,6,FALSE))/2*D61,0)</f>
        <v>0</v>
      </c>
      <c r="I61">
        <f>IFERROR((VLOOKUP(C61,'음식DB'!$A$2:$J$46,7,FALSE)+VLOOKUP(C61,'음식DB'!$A$2:$J$46,8,FALSE))/2*D61,0)</f>
        <v>0</v>
      </c>
      <c r="J61">
        <f>IFERROR((VLOOKUP(C61,'음식DB'!$A$2:$J$46,9,FALSE)+VLOOKUP(C61,'음식DB'!$A$2:$J$46,10,FALSE))/2*D61,0)</f>
        <v>0</v>
      </c>
    </row>
  </sheetData>
  <dataValidations count="2">
    <dataValidation type="list" allowBlank="1" showInputMessage="1" showErrorMessage="1" sqref="B2:B61">
      <formula1>"아침,점심,저녁,간식"</formula1>
    </dataValidation>
    <dataValidation type="list" allowBlank="1" showInputMessage="1" showErrorMessage="1" sqref="C2:C61">
      <formula1>'음식DB'!$A$2:$A$46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</sheetPr>
  <dimension ref="A1: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4.7109375" customWidth="1"/>
  </cols>
  <sheetData>
    <row r="1" spans="1:14">
      <c r="A1" s="2" t="s">
        <v>95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115</v>
      </c>
      <c r="N1" s="2" t="s">
        <v>116</v>
      </c>
    </row>
    <row r="2" spans="1:14">
      <c r="A2" s="3">
        <v>46260.02862343346</v>
      </c>
      <c r="B2">
        <f>SUMIFS('일일기록'!$G$2:$G$61,'일일기록'!$A$2:$A$61,A2)</f>
        <v>0</v>
      </c>
      <c r="C2">
        <f>SUMIFS('일일기록'!$H$2:$H$61,'일일기록'!$A$2:$A$61,A2)</f>
        <v>0</v>
      </c>
      <c r="D2">
        <f>SUMIFS('일일기록'!$I$2:$I$61,'일일기록'!$A$2:$A$61,A2)</f>
        <v>0</v>
      </c>
      <c r="E2">
        <f>SUMIFS('일일기록'!$J$2:$J$61,'일일기록'!$A$2:$A$61,A2)</f>
        <v>0</v>
      </c>
      <c r="F2">
        <f>'프로필'!$B$12-B2</f>
        <v>0</v>
      </c>
      <c r="G2" s="4">
        <f>IFERROR(B2/'프로필'!$B$12,0)</f>
        <v>0</v>
      </c>
      <c r="H2" s="4">
        <f>IFERROR(C2/'프로필'!$D$15,0)</f>
        <v>0</v>
      </c>
      <c r="I2" s="4">
        <f>IFERROR(D2/'프로필'!$D$16,0)</f>
        <v>0</v>
      </c>
      <c r="J2" s="4">
        <f>IFERROR(E2/'프로필'!$D$17,0)</f>
        <v>0</v>
      </c>
      <c r="K2">
        <f>IF(H2=MIN(H2:J2),"탄수화물 부족",IF(I2=MIN(H2:J2),"단백질 부족","지방 부족"))</f>
        <v>0</v>
      </c>
      <c r="L2">
        <f>IF(K2="단백질 부족","닭가슴살, 두부, 계란 등을 추가하세요",IF(K2="탄수화물 부족","밥, 고구마 등을 추가하세요","견과류, 올리브유 등을 추가하세요"))</f>
        <v>0</v>
      </c>
      <c r="M2">
        <f>B2</f>
        <v>0</v>
      </c>
      <c r="N2">
        <f>IF(B2=M2,"✅ 일치","⚠️ 불일치")</f>
        <v>0</v>
      </c>
    </row>
    <row r="3" spans="1:14">
      <c r="A3" s="3">
        <v>46261.02862343346</v>
      </c>
      <c r="B3">
        <f>SUMIFS('일일기록'!$G$2:$G$61,'일일기록'!$A$2:$A$61,A3)</f>
        <v>0</v>
      </c>
      <c r="C3">
        <f>SUMIFS('일일기록'!$H$2:$H$61,'일일기록'!$A$2:$A$61,A3)</f>
        <v>0</v>
      </c>
      <c r="D3">
        <f>SUMIFS('일일기록'!$I$2:$I$61,'일일기록'!$A$2:$A$61,A3)</f>
        <v>0</v>
      </c>
      <c r="E3">
        <f>SUMIFS('일일기록'!$J$2:$J$61,'일일기록'!$A$2:$A$61,A3)</f>
        <v>0</v>
      </c>
      <c r="F3">
        <f>'프로필'!$B$12-B3</f>
        <v>0</v>
      </c>
      <c r="G3" s="4">
        <f>IFERROR(B3/'프로필'!$B$12,0)</f>
        <v>0</v>
      </c>
      <c r="H3" s="4">
        <f>IFERROR(C3/'프로필'!$D$15,0)</f>
        <v>0</v>
      </c>
      <c r="I3" s="4">
        <f>IFERROR(D3/'프로필'!$D$16,0)</f>
        <v>0</v>
      </c>
      <c r="J3" s="4">
        <f>IFERROR(E3/'프로필'!$D$17,0)</f>
        <v>0</v>
      </c>
      <c r="K3">
        <f>IF(H3=MIN(H3:J3),"탄수화물 부족",IF(I3=MIN(H3:J3),"단백질 부족","지방 부족"))</f>
        <v>0</v>
      </c>
      <c r="L3">
        <f>IF(K3="단백질 부족","닭가슴살, 두부, 계란 등을 추가하세요",IF(K3="탄수화물 부족","밥, 고구마 등을 추가하세요","견과류, 올리브유 등을 추가하세요"))</f>
        <v>0</v>
      </c>
      <c r="M3">
        <f>B3</f>
        <v>0</v>
      </c>
      <c r="N3">
        <f>IF(B3=M3,"✅ 일치","⚠️ 불일치")</f>
        <v>0</v>
      </c>
    </row>
    <row r="4" spans="1:14">
      <c r="A4" s="3">
        <v>46262.02862343346</v>
      </c>
      <c r="B4">
        <f>SUMIFS('일일기록'!$G$2:$G$61,'일일기록'!$A$2:$A$61,A4)</f>
        <v>0</v>
      </c>
      <c r="C4">
        <f>SUMIFS('일일기록'!$H$2:$H$61,'일일기록'!$A$2:$A$61,A4)</f>
        <v>0</v>
      </c>
      <c r="D4">
        <f>SUMIFS('일일기록'!$I$2:$I$61,'일일기록'!$A$2:$A$61,A4)</f>
        <v>0</v>
      </c>
      <c r="E4">
        <f>SUMIFS('일일기록'!$J$2:$J$61,'일일기록'!$A$2:$A$61,A4)</f>
        <v>0</v>
      </c>
      <c r="F4">
        <f>'프로필'!$B$12-B4</f>
        <v>0</v>
      </c>
      <c r="G4" s="4">
        <f>IFERROR(B4/'프로필'!$B$12,0)</f>
        <v>0</v>
      </c>
      <c r="H4" s="4">
        <f>IFERROR(C4/'프로필'!$D$15,0)</f>
        <v>0</v>
      </c>
      <c r="I4" s="4">
        <f>IFERROR(D4/'프로필'!$D$16,0)</f>
        <v>0</v>
      </c>
      <c r="J4" s="4">
        <f>IFERROR(E4/'프로필'!$D$17,0)</f>
        <v>0</v>
      </c>
      <c r="K4">
        <f>IF(H4=MIN(H4:J4),"탄수화물 부족",IF(I4=MIN(H4:J4),"단백질 부족","지방 부족"))</f>
        <v>0</v>
      </c>
      <c r="L4">
        <f>IF(K4="단백질 부족","닭가슴살, 두부, 계란 등을 추가하세요",IF(K4="탄수화물 부족","밥, 고구마 등을 추가하세요","견과류, 올리브유 등을 추가하세요"))</f>
        <v>0</v>
      </c>
      <c r="M4">
        <f>B4</f>
        <v>0</v>
      </c>
      <c r="N4">
        <f>IF(B4=M4,"✅ 일치","⚠️ 불일치")</f>
        <v>0</v>
      </c>
    </row>
    <row r="5" spans="1:14">
      <c r="A5" s="3">
        <v>46263.02862343346</v>
      </c>
      <c r="B5">
        <f>SUMIFS('일일기록'!$G$2:$G$61,'일일기록'!$A$2:$A$61,A5)</f>
        <v>0</v>
      </c>
      <c r="C5">
        <f>SUMIFS('일일기록'!$H$2:$H$61,'일일기록'!$A$2:$A$61,A5)</f>
        <v>0</v>
      </c>
      <c r="D5">
        <f>SUMIFS('일일기록'!$I$2:$I$61,'일일기록'!$A$2:$A$61,A5)</f>
        <v>0</v>
      </c>
      <c r="E5">
        <f>SUMIFS('일일기록'!$J$2:$J$61,'일일기록'!$A$2:$A$61,A5)</f>
        <v>0</v>
      </c>
      <c r="F5">
        <f>'프로필'!$B$12-B5</f>
        <v>0</v>
      </c>
      <c r="G5" s="4">
        <f>IFERROR(B5/'프로필'!$B$12,0)</f>
        <v>0</v>
      </c>
      <c r="H5" s="4">
        <f>IFERROR(C5/'프로필'!$D$15,0)</f>
        <v>0</v>
      </c>
      <c r="I5" s="4">
        <f>IFERROR(D5/'프로필'!$D$16,0)</f>
        <v>0</v>
      </c>
      <c r="J5" s="4">
        <f>IFERROR(E5/'프로필'!$D$17,0)</f>
        <v>0</v>
      </c>
      <c r="K5">
        <f>IF(H5=MIN(H5:J5),"탄수화물 부족",IF(I5=MIN(H5:J5),"단백질 부족","지방 부족"))</f>
        <v>0</v>
      </c>
      <c r="L5">
        <f>IF(K5="단백질 부족","닭가슴살, 두부, 계란 등을 추가하세요",IF(K5="탄수화물 부족","밥, 고구마 등을 추가하세요","견과류, 올리브유 등을 추가하세요"))</f>
        <v>0</v>
      </c>
      <c r="M5">
        <f>B5</f>
        <v>0</v>
      </c>
      <c r="N5">
        <f>IF(B5=M5,"✅ 일치","⚠️ 불일치")</f>
        <v>0</v>
      </c>
    </row>
    <row r="6" spans="1:14">
      <c r="A6" s="3">
        <v>46264.02862343346</v>
      </c>
      <c r="B6">
        <f>SUMIFS('일일기록'!$G$2:$G$61,'일일기록'!$A$2:$A$61,A6)</f>
        <v>0</v>
      </c>
      <c r="C6">
        <f>SUMIFS('일일기록'!$H$2:$H$61,'일일기록'!$A$2:$A$61,A6)</f>
        <v>0</v>
      </c>
      <c r="D6">
        <f>SUMIFS('일일기록'!$I$2:$I$61,'일일기록'!$A$2:$A$61,A6)</f>
        <v>0</v>
      </c>
      <c r="E6">
        <f>SUMIFS('일일기록'!$J$2:$J$61,'일일기록'!$A$2:$A$61,A6)</f>
        <v>0</v>
      </c>
      <c r="F6">
        <f>'프로필'!$B$12-B6</f>
        <v>0</v>
      </c>
      <c r="G6" s="4">
        <f>IFERROR(B6/'프로필'!$B$12,0)</f>
        <v>0</v>
      </c>
      <c r="H6" s="4">
        <f>IFERROR(C6/'프로필'!$D$15,0)</f>
        <v>0</v>
      </c>
      <c r="I6" s="4">
        <f>IFERROR(D6/'프로필'!$D$16,0)</f>
        <v>0</v>
      </c>
      <c r="J6" s="4">
        <f>IFERROR(E6/'프로필'!$D$17,0)</f>
        <v>0</v>
      </c>
      <c r="K6">
        <f>IF(H6=MIN(H6:J6),"탄수화물 부족",IF(I6=MIN(H6:J6),"단백질 부족","지방 부족"))</f>
        <v>0</v>
      </c>
      <c r="L6">
        <f>IF(K6="단백질 부족","닭가슴살, 두부, 계란 등을 추가하세요",IF(K6="탄수화물 부족","밥, 고구마 등을 추가하세요","견과류, 올리브유 등을 추가하세요"))</f>
        <v>0</v>
      </c>
      <c r="M6">
        <f>B6</f>
        <v>0</v>
      </c>
      <c r="N6">
        <f>IF(B6=M6,"✅ 일치","⚠️ 불일치")</f>
        <v>0</v>
      </c>
    </row>
    <row r="7" spans="1:14">
      <c r="A7" s="3">
        <v>46265.02862343346</v>
      </c>
      <c r="B7">
        <f>SUMIFS('일일기록'!$G$2:$G$61,'일일기록'!$A$2:$A$61,A7)</f>
        <v>0</v>
      </c>
      <c r="C7">
        <f>SUMIFS('일일기록'!$H$2:$H$61,'일일기록'!$A$2:$A$61,A7)</f>
        <v>0</v>
      </c>
      <c r="D7">
        <f>SUMIFS('일일기록'!$I$2:$I$61,'일일기록'!$A$2:$A$61,A7)</f>
        <v>0</v>
      </c>
      <c r="E7">
        <f>SUMIFS('일일기록'!$J$2:$J$61,'일일기록'!$A$2:$A$61,A7)</f>
        <v>0</v>
      </c>
      <c r="F7">
        <f>'프로필'!$B$12-B7</f>
        <v>0</v>
      </c>
      <c r="G7" s="4">
        <f>IFERROR(B7/'프로필'!$B$12,0)</f>
        <v>0</v>
      </c>
      <c r="H7" s="4">
        <f>IFERROR(C7/'프로필'!$D$15,0)</f>
        <v>0</v>
      </c>
      <c r="I7" s="4">
        <f>IFERROR(D7/'프로필'!$D$16,0)</f>
        <v>0</v>
      </c>
      <c r="J7" s="4">
        <f>IFERROR(E7/'프로필'!$D$17,0)</f>
        <v>0</v>
      </c>
      <c r="K7">
        <f>IF(H7=MIN(H7:J7),"탄수화물 부족",IF(I7=MIN(H7:J7),"단백질 부족","지방 부족"))</f>
        <v>0</v>
      </c>
      <c r="L7">
        <f>IF(K7="단백질 부족","닭가슴살, 두부, 계란 등을 추가하세요",IF(K7="탄수화물 부족","밥, 고구마 등을 추가하세요","견과류, 올리브유 등을 추가하세요"))</f>
        <v>0</v>
      </c>
      <c r="M7">
        <f>B7</f>
        <v>0</v>
      </c>
      <c r="N7">
        <f>IF(B7=M7,"✅ 일치","⚠️ 불일치")</f>
        <v>0</v>
      </c>
    </row>
    <row r="8" spans="1:14">
      <c r="A8" s="3">
        <v>46266.02862343346</v>
      </c>
      <c r="B8">
        <f>SUMIFS('일일기록'!$G$2:$G$61,'일일기록'!$A$2:$A$61,A8)</f>
        <v>0</v>
      </c>
      <c r="C8">
        <f>SUMIFS('일일기록'!$H$2:$H$61,'일일기록'!$A$2:$A$61,A8)</f>
        <v>0</v>
      </c>
      <c r="D8">
        <f>SUMIFS('일일기록'!$I$2:$I$61,'일일기록'!$A$2:$A$61,A8)</f>
        <v>0</v>
      </c>
      <c r="E8">
        <f>SUMIFS('일일기록'!$J$2:$J$61,'일일기록'!$A$2:$A$61,A8)</f>
        <v>0</v>
      </c>
      <c r="F8">
        <f>'프로필'!$B$12-B8</f>
        <v>0</v>
      </c>
      <c r="G8" s="4">
        <f>IFERROR(B8/'프로필'!$B$12,0)</f>
        <v>0</v>
      </c>
      <c r="H8" s="4">
        <f>IFERROR(C8/'프로필'!$D$15,0)</f>
        <v>0</v>
      </c>
      <c r="I8" s="4">
        <f>IFERROR(D8/'프로필'!$D$16,0)</f>
        <v>0</v>
      </c>
      <c r="J8" s="4">
        <f>IFERROR(E8/'프로필'!$D$17,0)</f>
        <v>0</v>
      </c>
      <c r="K8">
        <f>IF(H8=MIN(H8:J8),"탄수화물 부족",IF(I8=MIN(H8:J8),"단백질 부족","지방 부족"))</f>
        <v>0</v>
      </c>
      <c r="L8">
        <f>IF(K8="단백질 부족","닭가슴살, 두부, 계란 등을 추가하세요",IF(K8="탄수화물 부족","밥, 고구마 등을 추가하세요","견과류, 올리브유 등을 추가하세요"))</f>
        <v>0</v>
      </c>
      <c r="M8">
        <f>B8</f>
        <v>0</v>
      </c>
      <c r="N8">
        <f>IF(B8=M8,"✅ 일치","⚠️ 불일치")</f>
        <v>0</v>
      </c>
    </row>
    <row r="9" spans="1:14">
      <c r="A9" s="3">
        <v>46267.02862343346</v>
      </c>
      <c r="B9">
        <f>SUMIFS('일일기록'!$G$2:$G$61,'일일기록'!$A$2:$A$61,A9)</f>
        <v>0</v>
      </c>
      <c r="C9">
        <f>SUMIFS('일일기록'!$H$2:$H$61,'일일기록'!$A$2:$A$61,A9)</f>
        <v>0</v>
      </c>
      <c r="D9">
        <f>SUMIFS('일일기록'!$I$2:$I$61,'일일기록'!$A$2:$A$61,A9)</f>
        <v>0</v>
      </c>
      <c r="E9">
        <f>SUMIFS('일일기록'!$J$2:$J$61,'일일기록'!$A$2:$A$61,A9)</f>
        <v>0</v>
      </c>
      <c r="F9">
        <f>'프로필'!$B$12-B9</f>
        <v>0</v>
      </c>
      <c r="G9" s="4">
        <f>IFERROR(B9/'프로필'!$B$12,0)</f>
        <v>0</v>
      </c>
      <c r="H9" s="4">
        <f>IFERROR(C9/'프로필'!$D$15,0)</f>
        <v>0</v>
      </c>
      <c r="I9" s="4">
        <f>IFERROR(D9/'프로필'!$D$16,0)</f>
        <v>0</v>
      </c>
      <c r="J9" s="4">
        <f>IFERROR(E9/'프로필'!$D$17,0)</f>
        <v>0</v>
      </c>
      <c r="K9">
        <f>IF(H9=MIN(H9:J9),"탄수화물 부족",IF(I9=MIN(H9:J9),"단백질 부족","지방 부족"))</f>
        <v>0</v>
      </c>
      <c r="L9">
        <f>IF(K9="단백질 부족","닭가슴살, 두부, 계란 등을 추가하세요",IF(K9="탄수화물 부족","밥, 고구마 등을 추가하세요","견과류, 올리브유 등을 추가하세요"))</f>
        <v>0</v>
      </c>
      <c r="M9">
        <f>B9</f>
        <v>0</v>
      </c>
      <c r="N9">
        <f>IF(B9=M9,"✅ 일치","⚠️ 불일치")</f>
        <v>0</v>
      </c>
    </row>
    <row r="10" spans="1:14">
      <c r="A10" s="3">
        <v>46268.02862343346</v>
      </c>
      <c r="B10">
        <f>SUMIFS('일일기록'!$G$2:$G$61,'일일기록'!$A$2:$A$61,A10)</f>
        <v>0</v>
      </c>
      <c r="C10">
        <f>SUMIFS('일일기록'!$H$2:$H$61,'일일기록'!$A$2:$A$61,A10)</f>
        <v>0</v>
      </c>
      <c r="D10">
        <f>SUMIFS('일일기록'!$I$2:$I$61,'일일기록'!$A$2:$A$61,A10)</f>
        <v>0</v>
      </c>
      <c r="E10">
        <f>SUMIFS('일일기록'!$J$2:$J$61,'일일기록'!$A$2:$A$61,A10)</f>
        <v>0</v>
      </c>
      <c r="F10">
        <f>'프로필'!$B$12-B10</f>
        <v>0</v>
      </c>
      <c r="G10" s="4">
        <f>IFERROR(B10/'프로필'!$B$12,0)</f>
        <v>0</v>
      </c>
      <c r="H10" s="4">
        <f>IFERROR(C10/'프로필'!$D$15,0)</f>
        <v>0</v>
      </c>
      <c r="I10" s="4">
        <f>IFERROR(D10/'프로필'!$D$16,0)</f>
        <v>0</v>
      </c>
      <c r="J10" s="4">
        <f>IFERROR(E10/'프로필'!$D$17,0)</f>
        <v>0</v>
      </c>
      <c r="K10">
        <f>IF(H10=MIN(H10:J10),"탄수화물 부족",IF(I10=MIN(H10:J10),"단백질 부족","지방 부족"))</f>
        <v>0</v>
      </c>
      <c r="L10">
        <f>IF(K10="단백질 부족","닭가슴살, 두부, 계란 등을 추가하세요",IF(K10="탄수화물 부족","밥, 고구마 등을 추가하세요","견과류, 올리브유 등을 추가하세요"))</f>
        <v>0</v>
      </c>
      <c r="M10">
        <f>B10</f>
        <v>0</v>
      </c>
      <c r="N10">
        <f>IF(B10=M10,"✅ 일치","⚠️ 불일치")</f>
        <v>0</v>
      </c>
    </row>
    <row r="11" spans="1:14">
      <c r="A11" s="3">
        <v>46269.02862343346</v>
      </c>
      <c r="B11">
        <f>SUMIFS('일일기록'!$G$2:$G$61,'일일기록'!$A$2:$A$61,A11)</f>
        <v>0</v>
      </c>
      <c r="C11">
        <f>SUMIFS('일일기록'!$H$2:$H$61,'일일기록'!$A$2:$A$61,A11)</f>
        <v>0</v>
      </c>
      <c r="D11">
        <f>SUMIFS('일일기록'!$I$2:$I$61,'일일기록'!$A$2:$A$61,A11)</f>
        <v>0</v>
      </c>
      <c r="E11">
        <f>SUMIFS('일일기록'!$J$2:$J$61,'일일기록'!$A$2:$A$61,A11)</f>
        <v>0</v>
      </c>
      <c r="F11">
        <f>'프로필'!$B$12-B11</f>
        <v>0</v>
      </c>
      <c r="G11" s="4">
        <f>IFERROR(B11/'프로필'!$B$12,0)</f>
        <v>0</v>
      </c>
      <c r="H11" s="4">
        <f>IFERROR(C11/'프로필'!$D$15,0)</f>
        <v>0</v>
      </c>
      <c r="I11" s="4">
        <f>IFERROR(D11/'프로필'!$D$16,0)</f>
        <v>0</v>
      </c>
      <c r="J11" s="4">
        <f>IFERROR(E11/'프로필'!$D$17,0)</f>
        <v>0</v>
      </c>
      <c r="K11">
        <f>IF(H11=MIN(H11:J11),"탄수화물 부족",IF(I11=MIN(H11:J11),"단백질 부족","지방 부족"))</f>
        <v>0</v>
      </c>
      <c r="L11">
        <f>IF(K11="단백질 부족","닭가슴살, 두부, 계란 등을 추가하세요",IF(K11="탄수화물 부족","밥, 고구마 등을 추가하세요","견과류, 올리브유 등을 추가하세요"))</f>
        <v>0</v>
      </c>
      <c r="M11">
        <f>B11</f>
        <v>0</v>
      </c>
      <c r="N11">
        <f>IF(B11=M11,"✅ 일치","⚠️ 불일치")</f>
        <v>0</v>
      </c>
    </row>
    <row r="12" spans="1:14">
      <c r="A12" s="3">
        <v>46270.02862343346</v>
      </c>
      <c r="B12">
        <f>SUMIFS('일일기록'!$G$2:$G$61,'일일기록'!$A$2:$A$61,A12)</f>
        <v>0</v>
      </c>
      <c r="C12">
        <f>SUMIFS('일일기록'!$H$2:$H$61,'일일기록'!$A$2:$A$61,A12)</f>
        <v>0</v>
      </c>
      <c r="D12">
        <f>SUMIFS('일일기록'!$I$2:$I$61,'일일기록'!$A$2:$A$61,A12)</f>
        <v>0</v>
      </c>
      <c r="E12">
        <f>SUMIFS('일일기록'!$J$2:$J$61,'일일기록'!$A$2:$A$61,A12)</f>
        <v>0</v>
      </c>
      <c r="F12">
        <f>'프로필'!$B$12-B12</f>
        <v>0</v>
      </c>
      <c r="G12" s="4">
        <f>IFERROR(B12/'프로필'!$B$12,0)</f>
        <v>0</v>
      </c>
      <c r="H12" s="4">
        <f>IFERROR(C12/'프로필'!$D$15,0)</f>
        <v>0</v>
      </c>
      <c r="I12" s="4">
        <f>IFERROR(D12/'프로필'!$D$16,0)</f>
        <v>0</v>
      </c>
      <c r="J12" s="4">
        <f>IFERROR(E12/'프로필'!$D$17,0)</f>
        <v>0</v>
      </c>
      <c r="K12">
        <f>IF(H12=MIN(H12:J12),"탄수화물 부족",IF(I12=MIN(H12:J12),"단백질 부족","지방 부족"))</f>
        <v>0</v>
      </c>
      <c r="L12">
        <f>IF(K12="단백질 부족","닭가슴살, 두부, 계란 등을 추가하세요",IF(K12="탄수화물 부족","밥, 고구마 등을 추가하세요","견과류, 올리브유 등을 추가하세요"))</f>
        <v>0</v>
      </c>
      <c r="M12">
        <f>B12</f>
        <v>0</v>
      </c>
      <c r="N12">
        <f>IF(B12=M12,"✅ 일치","⚠️ 불일치")</f>
        <v>0</v>
      </c>
    </row>
    <row r="13" spans="1:14">
      <c r="A13" s="3">
        <v>46271.02862343346</v>
      </c>
      <c r="B13">
        <f>SUMIFS('일일기록'!$G$2:$G$61,'일일기록'!$A$2:$A$61,A13)</f>
        <v>0</v>
      </c>
      <c r="C13">
        <f>SUMIFS('일일기록'!$H$2:$H$61,'일일기록'!$A$2:$A$61,A13)</f>
        <v>0</v>
      </c>
      <c r="D13">
        <f>SUMIFS('일일기록'!$I$2:$I$61,'일일기록'!$A$2:$A$61,A13)</f>
        <v>0</v>
      </c>
      <c r="E13">
        <f>SUMIFS('일일기록'!$J$2:$J$61,'일일기록'!$A$2:$A$61,A13)</f>
        <v>0</v>
      </c>
      <c r="F13">
        <f>'프로필'!$B$12-B13</f>
        <v>0</v>
      </c>
      <c r="G13" s="4">
        <f>IFERROR(B13/'프로필'!$B$12,0)</f>
        <v>0</v>
      </c>
      <c r="H13" s="4">
        <f>IFERROR(C13/'프로필'!$D$15,0)</f>
        <v>0</v>
      </c>
      <c r="I13" s="4">
        <f>IFERROR(D13/'프로필'!$D$16,0)</f>
        <v>0</v>
      </c>
      <c r="J13" s="4">
        <f>IFERROR(E13/'프로필'!$D$17,0)</f>
        <v>0</v>
      </c>
      <c r="K13">
        <f>IF(H13=MIN(H13:J13),"탄수화물 부족",IF(I13=MIN(H13:J13),"단백질 부족","지방 부족"))</f>
        <v>0</v>
      </c>
      <c r="L13">
        <f>IF(K13="단백질 부족","닭가슴살, 두부, 계란 등을 추가하세요",IF(K13="탄수화물 부족","밥, 고구마 등을 추가하세요","견과류, 올리브유 등을 추가하세요"))</f>
        <v>0</v>
      </c>
      <c r="M13">
        <f>B13</f>
        <v>0</v>
      </c>
      <c r="N13">
        <f>IF(B13=M13,"✅ 일치","⚠️ 불일치")</f>
        <v>0</v>
      </c>
    </row>
    <row r="14" spans="1:14">
      <c r="A14" s="3">
        <v>46272.02862343346</v>
      </c>
      <c r="B14">
        <f>SUMIFS('일일기록'!$G$2:$G$61,'일일기록'!$A$2:$A$61,A14)</f>
        <v>0</v>
      </c>
      <c r="C14">
        <f>SUMIFS('일일기록'!$H$2:$H$61,'일일기록'!$A$2:$A$61,A14)</f>
        <v>0</v>
      </c>
      <c r="D14">
        <f>SUMIFS('일일기록'!$I$2:$I$61,'일일기록'!$A$2:$A$61,A14)</f>
        <v>0</v>
      </c>
      <c r="E14">
        <f>SUMIFS('일일기록'!$J$2:$J$61,'일일기록'!$A$2:$A$61,A14)</f>
        <v>0</v>
      </c>
      <c r="F14">
        <f>'프로필'!$B$12-B14</f>
        <v>0</v>
      </c>
      <c r="G14" s="4">
        <f>IFERROR(B14/'프로필'!$B$12,0)</f>
        <v>0</v>
      </c>
      <c r="H14" s="4">
        <f>IFERROR(C14/'프로필'!$D$15,0)</f>
        <v>0</v>
      </c>
      <c r="I14" s="4">
        <f>IFERROR(D14/'프로필'!$D$16,0)</f>
        <v>0</v>
      </c>
      <c r="J14" s="4">
        <f>IFERROR(E14/'프로필'!$D$17,0)</f>
        <v>0</v>
      </c>
      <c r="K14">
        <f>IF(H14=MIN(H14:J14),"탄수화물 부족",IF(I14=MIN(H14:J14),"단백질 부족","지방 부족"))</f>
        <v>0</v>
      </c>
      <c r="L14">
        <f>IF(K14="단백질 부족","닭가슴살, 두부, 계란 등을 추가하세요",IF(K14="탄수화물 부족","밥, 고구마 등을 추가하세요","견과류, 올리브유 등을 추가하세요"))</f>
        <v>0</v>
      </c>
      <c r="M14">
        <f>B14</f>
        <v>0</v>
      </c>
      <c r="N14">
        <f>IF(B14=M14,"✅ 일치","⚠️ 불일치")</f>
        <v>0</v>
      </c>
    </row>
    <row r="15" spans="1:14">
      <c r="A15" s="3">
        <v>46273.02862343346</v>
      </c>
      <c r="B15">
        <f>SUMIFS('일일기록'!$G$2:$G$61,'일일기록'!$A$2:$A$61,A15)</f>
        <v>0</v>
      </c>
      <c r="C15">
        <f>SUMIFS('일일기록'!$H$2:$H$61,'일일기록'!$A$2:$A$61,A15)</f>
        <v>0</v>
      </c>
      <c r="D15">
        <f>SUMIFS('일일기록'!$I$2:$I$61,'일일기록'!$A$2:$A$61,A15)</f>
        <v>0</v>
      </c>
      <c r="E15">
        <f>SUMIFS('일일기록'!$J$2:$J$61,'일일기록'!$A$2:$A$61,A15)</f>
        <v>0</v>
      </c>
      <c r="F15">
        <f>'프로필'!$B$12-B15</f>
        <v>0</v>
      </c>
      <c r="G15" s="4">
        <f>IFERROR(B15/'프로필'!$B$12,0)</f>
        <v>0</v>
      </c>
      <c r="H15" s="4">
        <f>IFERROR(C15/'프로필'!$D$15,0)</f>
        <v>0</v>
      </c>
      <c r="I15" s="4">
        <f>IFERROR(D15/'프로필'!$D$16,0)</f>
        <v>0</v>
      </c>
      <c r="J15" s="4">
        <f>IFERROR(E15/'프로필'!$D$17,0)</f>
        <v>0</v>
      </c>
      <c r="K15">
        <f>IF(H15=MIN(H15:J15),"탄수화물 부족",IF(I15=MIN(H15:J15),"단백질 부족","지방 부족"))</f>
        <v>0</v>
      </c>
      <c r="L15">
        <f>IF(K15="단백질 부족","닭가슴살, 두부, 계란 등을 추가하세요",IF(K15="탄수화물 부족","밥, 고구마 등을 추가하세요","견과류, 올리브유 등을 추가하세요"))</f>
        <v>0</v>
      </c>
      <c r="M15">
        <f>B15</f>
        <v>0</v>
      </c>
      <c r="N15">
        <f>IF(B15=M15,"✅ 일치","⚠️ 불일치")</f>
        <v>0</v>
      </c>
    </row>
    <row r="16" spans="1:14">
      <c r="A16" s="3">
        <v>46274.02862343346</v>
      </c>
      <c r="B16">
        <f>SUMIFS('일일기록'!$G$2:$G$61,'일일기록'!$A$2:$A$61,A16)</f>
        <v>0</v>
      </c>
      <c r="C16">
        <f>SUMIFS('일일기록'!$H$2:$H$61,'일일기록'!$A$2:$A$61,A16)</f>
        <v>0</v>
      </c>
      <c r="D16">
        <f>SUMIFS('일일기록'!$I$2:$I$61,'일일기록'!$A$2:$A$61,A16)</f>
        <v>0</v>
      </c>
      <c r="E16">
        <f>SUMIFS('일일기록'!$J$2:$J$61,'일일기록'!$A$2:$A$61,A16)</f>
        <v>0</v>
      </c>
      <c r="F16">
        <f>'프로필'!$B$12-B16</f>
        <v>0</v>
      </c>
      <c r="G16" s="4">
        <f>IFERROR(B16/'프로필'!$B$12,0)</f>
        <v>0</v>
      </c>
      <c r="H16" s="4">
        <f>IFERROR(C16/'프로필'!$D$15,0)</f>
        <v>0</v>
      </c>
      <c r="I16" s="4">
        <f>IFERROR(D16/'프로필'!$D$16,0)</f>
        <v>0</v>
      </c>
      <c r="J16" s="4">
        <f>IFERROR(E16/'프로필'!$D$17,0)</f>
        <v>0</v>
      </c>
      <c r="K16">
        <f>IF(H16=MIN(H16:J16),"탄수화물 부족",IF(I16=MIN(H16:J16),"단백질 부족","지방 부족"))</f>
        <v>0</v>
      </c>
      <c r="L16">
        <f>IF(K16="단백질 부족","닭가슴살, 두부, 계란 등을 추가하세요",IF(K16="탄수화물 부족","밥, 고구마 등을 추가하세요","견과류, 올리브유 등을 추가하세요"))</f>
        <v>0</v>
      </c>
      <c r="M16">
        <f>B16</f>
        <v>0</v>
      </c>
      <c r="N16">
        <f>IF(B16=M16,"✅ 일치","⚠️ 불일치")</f>
        <v>0</v>
      </c>
    </row>
    <row r="17" spans="1:14">
      <c r="A17" s="3">
        <v>46275.02862343346</v>
      </c>
      <c r="B17">
        <f>SUMIFS('일일기록'!$G$2:$G$61,'일일기록'!$A$2:$A$61,A17)</f>
        <v>0</v>
      </c>
      <c r="C17">
        <f>SUMIFS('일일기록'!$H$2:$H$61,'일일기록'!$A$2:$A$61,A17)</f>
        <v>0</v>
      </c>
      <c r="D17">
        <f>SUMIFS('일일기록'!$I$2:$I$61,'일일기록'!$A$2:$A$61,A17)</f>
        <v>0</v>
      </c>
      <c r="E17">
        <f>SUMIFS('일일기록'!$J$2:$J$61,'일일기록'!$A$2:$A$61,A17)</f>
        <v>0</v>
      </c>
      <c r="F17">
        <f>'프로필'!$B$12-B17</f>
        <v>0</v>
      </c>
      <c r="G17" s="4">
        <f>IFERROR(B17/'프로필'!$B$12,0)</f>
        <v>0</v>
      </c>
      <c r="H17" s="4">
        <f>IFERROR(C17/'프로필'!$D$15,0)</f>
        <v>0</v>
      </c>
      <c r="I17" s="4">
        <f>IFERROR(D17/'프로필'!$D$16,0)</f>
        <v>0</v>
      </c>
      <c r="J17" s="4">
        <f>IFERROR(E17/'프로필'!$D$17,0)</f>
        <v>0</v>
      </c>
      <c r="K17">
        <f>IF(H17=MIN(H17:J17),"탄수화물 부족",IF(I17=MIN(H17:J17),"단백질 부족","지방 부족"))</f>
        <v>0</v>
      </c>
      <c r="L17">
        <f>IF(K17="단백질 부족","닭가슴살, 두부, 계란 등을 추가하세요",IF(K17="탄수화물 부족","밥, 고구마 등을 추가하세요","견과류, 올리브유 등을 추가하세요"))</f>
        <v>0</v>
      </c>
      <c r="M17">
        <f>B17</f>
        <v>0</v>
      </c>
      <c r="N17">
        <f>IF(B17=M17,"✅ 일치","⚠️ 불일치")</f>
        <v>0</v>
      </c>
    </row>
    <row r="18" spans="1:14">
      <c r="A18" s="3">
        <v>46276.02862343346</v>
      </c>
      <c r="B18">
        <f>SUMIFS('일일기록'!$G$2:$G$61,'일일기록'!$A$2:$A$61,A18)</f>
        <v>0</v>
      </c>
      <c r="C18">
        <f>SUMIFS('일일기록'!$H$2:$H$61,'일일기록'!$A$2:$A$61,A18)</f>
        <v>0</v>
      </c>
      <c r="D18">
        <f>SUMIFS('일일기록'!$I$2:$I$61,'일일기록'!$A$2:$A$61,A18)</f>
        <v>0</v>
      </c>
      <c r="E18">
        <f>SUMIFS('일일기록'!$J$2:$J$61,'일일기록'!$A$2:$A$61,A18)</f>
        <v>0</v>
      </c>
      <c r="F18">
        <f>'프로필'!$B$12-B18</f>
        <v>0</v>
      </c>
      <c r="G18" s="4">
        <f>IFERROR(B18/'프로필'!$B$12,0)</f>
        <v>0</v>
      </c>
      <c r="H18" s="4">
        <f>IFERROR(C18/'프로필'!$D$15,0)</f>
        <v>0</v>
      </c>
      <c r="I18" s="4">
        <f>IFERROR(D18/'프로필'!$D$16,0)</f>
        <v>0</v>
      </c>
      <c r="J18" s="4">
        <f>IFERROR(E18/'프로필'!$D$17,0)</f>
        <v>0</v>
      </c>
      <c r="K18">
        <f>IF(H18=MIN(H18:J18),"탄수화물 부족",IF(I18=MIN(H18:J18),"단백질 부족","지방 부족"))</f>
        <v>0</v>
      </c>
      <c r="L18">
        <f>IF(K18="단백질 부족","닭가슴살, 두부, 계란 등을 추가하세요",IF(K18="탄수화물 부족","밥, 고구마 등을 추가하세요","견과류, 올리브유 등을 추가하세요"))</f>
        <v>0</v>
      </c>
      <c r="M18">
        <f>B18</f>
        <v>0</v>
      </c>
      <c r="N18">
        <f>IF(B18=M18,"✅ 일치","⚠️ 불일치")</f>
        <v>0</v>
      </c>
    </row>
    <row r="19" spans="1:14">
      <c r="A19" s="3">
        <v>46277.02862343346</v>
      </c>
      <c r="B19">
        <f>SUMIFS('일일기록'!$G$2:$G$61,'일일기록'!$A$2:$A$61,A19)</f>
        <v>0</v>
      </c>
      <c r="C19">
        <f>SUMIFS('일일기록'!$H$2:$H$61,'일일기록'!$A$2:$A$61,A19)</f>
        <v>0</v>
      </c>
      <c r="D19">
        <f>SUMIFS('일일기록'!$I$2:$I$61,'일일기록'!$A$2:$A$61,A19)</f>
        <v>0</v>
      </c>
      <c r="E19">
        <f>SUMIFS('일일기록'!$J$2:$J$61,'일일기록'!$A$2:$A$61,A19)</f>
        <v>0</v>
      </c>
      <c r="F19">
        <f>'프로필'!$B$12-B19</f>
        <v>0</v>
      </c>
      <c r="G19" s="4">
        <f>IFERROR(B19/'프로필'!$B$12,0)</f>
        <v>0</v>
      </c>
      <c r="H19" s="4">
        <f>IFERROR(C19/'프로필'!$D$15,0)</f>
        <v>0</v>
      </c>
      <c r="I19" s="4">
        <f>IFERROR(D19/'프로필'!$D$16,0)</f>
        <v>0</v>
      </c>
      <c r="J19" s="4">
        <f>IFERROR(E19/'프로필'!$D$17,0)</f>
        <v>0</v>
      </c>
      <c r="K19">
        <f>IF(H19=MIN(H19:J19),"탄수화물 부족",IF(I19=MIN(H19:J19),"단백질 부족","지방 부족"))</f>
        <v>0</v>
      </c>
      <c r="L19">
        <f>IF(K19="단백질 부족","닭가슴살, 두부, 계란 등을 추가하세요",IF(K19="탄수화물 부족","밥, 고구마 등을 추가하세요","견과류, 올리브유 등을 추가하세요"))</f>
        <v>0</v>
      </c>
      <c r="M19">
        <f>B19</f>
        <v>0</v>
      </c>
      <c r="N19">
        <f>IF(B19=M19,"✅ 일치","⚠️ 불일치")</f>
        <v>0</v>
      </c>
    </row>
    <row r="20" spans="1:14">
      <c r="A20" s="3">
        <v>46278.02862343346</v>
      </c>
      <c r="B20">
        <f>SUMIFS('일일기록'!$G$2:$G$61,'일일기록'!$A$2:$A$61,A20)</f>
        <v>0</v>
      </c>
      <c r="C20">
        <f>SUMIFS('일일기록'!$H$2:$H$61,'일일기록'!$A$2:$A$61,A20)</f>
        <v>0</v>
      </c>
      <c r="D20">
        <f>SUMIFS('일일기록'!$I$2:$I$61,'일일기록'!$A$2:$A$61,A20)</f>
        <v>0</v>
      </c>
      <c r="E20">
        <f>SUMIFS('일일기록'!$J$2:$J$61,'일일기록'!$A$2:$A$61,A20)</f>
        <v>0</v>
      </c>
      <c r="F20">
        <f>'프로필'!$B$12-B20</f>
        <v>0</v>
      </c>
      <c r="G20" s="4">
        <f>IFERROR(B20/'프로필'!$B$12,0)</f>
        <v>0</v>
      </c>
      <c r="H20" s="4">
        <f>IFERROR(C20/'프로필'!$D$15,0)</f>
        <v>0</v>
      </c>
      <c r="I20" s="4">
        <f>IFERROR(D20/'프로필'!$D$16,0)</f>
        <v>0</v>
      </c>
      <c r="J20" s="4">
        <f>IFERROR(E20/'프로필'!$D$17,0)</f>
        <v>0</v>
      </c>
      <c r="K20">
        <f>IF(H20=MIN(H20:J20),"탄수화물 부족",IF(I20=MIN(H20:J20),"단백질 부족","지방 부족"))</f>
        <v>0</v>
      </c>
      <c r="L20">
        <f>IF(K20="단백질 부족","닭가슴살, 두부, 계란 등을 추가하세요",IF(K20="탄수화물 부족","밥, 고구마 등을 추가하세요","견과류, 올리브유 등을 추가하세요"))</f>
        <v>0</v>
      </c>
      <c r="M20">
        <f>B20</f>
        <v>0</v>
      </c>
      <c r="N20">
        <f>IF(B20=M20,"✅ 일치","⚠️ 불일치")</f>
        <v>0</v>
      </c>
    </row>
    <row r="21" spans="1:14">
      <c r="A21" s="3">
        <v>46279.02862343346</v>
      </c>
      <c r="B21">
        <f>SUMIFS('일일기록'!$G$2:$G$61,'일일기록'!$A$2:$A$61,A21)</f>
        <v>0</v>
      </c>
      <c r="C21">
        <f>SUMIFS('일일기록'!$H$2:$H$61,'일일기록'!$A$2:$A$61,A21)</f>
        <v>0</v>
      </c>
      <c r="D21">
        <f>SUMIFS('일일기록'!$I$2:$I$61,'일일기록'!$A$2:$A$61,A21)</f>
        <v>0</v>
      </c>
      <c r="E21">
        <f>SUMIFS('일일기록'!$J$2:$J$61,'일일기록'!$A$2:$A$61,A21)</f>
        <v>0</v>
      </c>
      <c r="F21">
        <f>'프로필'!$B$12-B21</f>
        <v>0</v>
      </c>
      <c r="G21" s="4">
        <f>IFERROR(B21/'프로필'!$B$12,0)</f>
        <v>0</v>
      </c>
      <c r="H21" s="4">
        <f>IFERROR(C21/'프로필'!$D$15,0)</f>
        <v>0</v>
      </c>
      <c r="I21" s="4">
        <f>IFERROR(D21/'프로필'!$D$16,0)</f>
        <v>0</v>
      </c>
      <c r="J21" s="4">
        <f>IFERROR(E21/'프로필'!$D$17,0)</f>
        <v>0</v>
      </c>
      <c r="K21">
        <f>IF(H21=MIN(H21:J21),"탄수화물 부족",IF(I21=MIN(H21:J21),"단백질 부족","지방 부족"))</f>
        <v>0</v>
      </c>
      <c r="L21">
        <f>IF(K21="단백질 부족","닭가슴살, 두부, 계란 등을 추가하세요",IF(K21="탄수화물 부족","밥, 고구마 등을 추가하세요","견과류, 올리브유 등을 추가하세요"))</f>
        <v>0</v>
      </c>
      <c r="M21">
        <f>B21</f>
        <v>0</v>
      </c>
      <c r="N21">
        <f>IF(B21=M21,"✅ 일치","⚠️ 불일치")</f>
        <v>0</v>
      </c>
    </row>
    <row r="22" spans="1:14">
      <c r="A22" s="3">
        <v>46280.02862343346</v>
      </c>
      <c r="B22">
        <f>SUMIFS('일일기록'!$G$2:$G$61,'일일기록'!$A$2:$A$61,A22)</f>
        <v>0</v>
      </c>
      <c r="C22">
        <f>SUMIFS('일일기록'!$H$2:$H$61,'일일기록'!$A$2:$A$61,A22)</f>
        <v>0</v>
      </c>
      <c r="D22">
        <f>SUMIFS('일일기록'!$I$2:$I$61,'일일기록'!$A$2:$A$61,A22)</f>
        <v>0</v>
      </c>
      <c r="E22">
        <f>SUMIFS('일일기록'!$J$2:$J$61,'일일기록'!$A$2:$A$61,A22)</f>
        <v>0</v>
      </c>
      <c r="F22">
        <f>'프로필'!$B$12-B22</f>
        <v>0</v>
      </c>
      <c r="G22" s="4">
        <f>IFERROR(B22/'프로필'!$B$12,0)</f>
        <v>0</v>
      </c>
      <c r="H22" s="4">
        <f>IFERROR(C22/'프로필'!$D$15,0)</f>
        <v>0</v>
      </c>
      <c r="I22" s="4">
        <f>IFERROR(D22/'프로필'!$D$16,0)</f>
        <v>0</v>
      </c>
      <c r="J22" s="4">
        <f>IFERROR(E22/'프로필'!$D$17,0)</f>
        <v>0</v>
      </c>
      <c r="K22">
        <f>IF(H22=MIN(H22:J22),"탄수화물 부족",IF(I22=MIN(H22:J22),"단백질 부족","지방 부족"))</f>
        <v>0</v>
      </c>
      <c r="L22">
        <f>IF(K22="단백질 부족","닭가슴살, 두부, 계란 등을 추가하세요",IF(K22="탄수화물 부족","밥, 고구마 등을 추가하세요","견과류, 올리브유 등을 추가하세요"))</f>
        <v>0</v>
      </c>
      <c r="M22">
        <f>B22</f>
        <v>0</v>
      </c>
      <c r="N22">
        <f>IF(B22=M22,"✅ 일치","⚠️ 불일치")</f>
        <v>0</v>
      </c>
    </row>
    <row r="23" spans="1:14">
      <c r="A23" s="3">
        <v>46281.02862343346</v>
      </c>
      <c r="B23">
        <f>SUMIFS('일일기록'!$G$2:$G$61,'일일기록'!$A$2:$A$61,A23)</f>
        <v>0</v>
      </c>
      <c r="C23">
        <f>SUMIFS('일일기록'!$H$2:$H$61,'일일기록'!$A$2:$A$61,A23)</f>
        <v>0</v>
      </c>
      <c r="D23">
        <f>SUMIFS('일일기록'!$I$2:$I$61,'일일기록'!$A$2:$A$61,A23)</f>
        <v>0</v>
      </c>
      <c r="E23">
        <f>SUMIFS('일일기록'!$J$2:$J$61,'일일기록'!$A$2:$A$61,A23)</f>
        <v>0</v>
      </c>
      <c r="F23">
        <f>'프로필'!$B$12-B23</f>
        <v>0</v>
      </c>
      <c r="G23" s="4">
        <f>IFERROR(B23/'프로필'!$B$12,0)</f>
        <v>0</v>
      </c>
      <c r="H23" s="4">
        <f>IFERROR(C23/'프로필'!$D$15,0)</f>
        <v>0</v>
      </c>
      <c r="I23" s="4">
        <f>IFERROR(D23/'프로필'!$D$16,0)</f>
        <v>0</v>
      </c>
      <c r="J23" s="4">
        <f>IFERROR(E23/'프로필'!$D$17,0)</f>
        <v>0</v>
      </c>
      <c r="K23">
        <f>IF(H23=MIN(H23:J23),"탄수화물 부족",IF(I23=MIN(H23:J23),"단백질 부족","지방 부족"))</f>
        <v>0</v>
      </c>
      <c r="L23">
        <f>IF(K23="단백질 부족","닭가슴살, 두부, 계란 등을 추가하세요",IF(K23="탄수화물 부족","밥, 고구마 등을 추가하세요","견과류, 올리브유 등을 추가하세요"))</f>
        <v>0</v>
      </c>
      <c r="M23">
        <f>B23</f>
        <v>0</v>
      </c>
      <c r="N23">
        <f>IF(B23=M23,"✅ 일치","⚠️ 불일치")</f>
        <v>0</v>
      </c>
    </row>
    <row r="24" spans="1:14">
      <c r="A24" s="3">
        <v>46282.02862343346</v>
      </c>
      <c r="B24">
        <f>SUMIFS('일일기록'!$G$2:$G$61,'일일기록'!$A$2:$A$61,A24)</f>
        <v>0</v>
      </c>
      <c r="C24">
        <f>SUMIFS('일일기록'!$H$2:$H$61,'일일기록'!$A$2:$A$61,A24)</f>
        <v>0</v>
      </c>
      <c r="D24">
        <f>SUMIFS('일일기록'!$I$2:$I$61,'일일기록'!$A$2:$A$61,A24)</f>
        <v>0</v>
      </c>
      <c r="E24">
        <f>SUMIFS('일일기록'!$J$2:$J$61,'일일기록'!$A$2:$A$61,A24)</f>
        <v>0</v>
      </c>
      <c r="F24">
        <f>'프로필'!$B$12-B24</f>
        <v>0</v>
      </c>
      <c r="G24" s="4">
        <f>IFERROR(B24/'프로필'!$B$12,0)</f>
        <v>0</v>
      </c>
      <c r="H24" s="4">
        <f>IFERROR(C24/'프로필'!$D$15,0)</f>
        <v>0</v>
      </c>
      <c r="I24" s="4">
        <f>IFERROR(D24/'프로필'!$D$16,0)</f>
        <v>0</v>
      </c>
      <c r="J24" s="4">
        <f>IFERROR(E24/'프로필'!$D$17,0)</f>
        <v>0</v>
      </c>
      <c r="K24">
        <f>IF(H24=MIN(H24:J24),"탄수화물 부족",IF(I24=MIN(H24:J24),"단백질 부족","지방 부족"))</f>
        <v>0</v>
      </c>
      <c r="L24">
        <f>IF(K24="단백질 부족","닭가슴살, 두부, 계란 등을 추가하세요",IF(K24="탄수화물 부족","밥, 고구마 등을 추가하세요","견과류, 올리브유 등을 추가하세요"))</f>
        <v>0</v>
      </c>
      <c r="M24">
        <f>B24</f>
        <v>0</v>
      </c>
      <c r="N24">
        <f>IF(B24=M24,"✅ 일치","⚠️ 불일치")</f>
        <v>0</v>
      </c>
    </row>
    <row r="25" spans="1:14">
      <c r="A25" s="3">
        <v>46283.02862343346</v>
      </c>
      <c r="B25">
        <f>SUMIFS('일일기록'!$G$2:$G$61,'일일기록'!$A$2:$A$61,A25)</f>
        <v>0</v>
      </c>
      <c r="C25">
        <f>SUMIFS('일일기록'!$H$2:$H$61,'일일기록'!$A$2:$A$61,A25)</f>
        <v>0</v>
      </c>
      <c r="D25">
        <f>SUMIFS('일일기록'!$I$2:$I$61,'일일기록'!$A$2:$A$61,A25)</f>
        <v>0</v>
      </c>
      <c r="E25">
        <f>SUMIFS('일일기록'!$J$2:$J$61,'일일기록'!$A$2:$A$61,A25)</f>
        <v>0</v>
      </c>
      <c r="F25">
        <f>'프로필'!$B$12-B25</f>
        <v>0</v>
      </c>
      <c r="G25" s="4">
        <f>IFERROR(B25/'프로필'!$B$12,0)</f>
        <v>0</v>
      </c>
      <c r="H25" s="4">
        <f>IFERROR(C25/'프로필'!$D$15,0)</f>
        <v>0</v>
      </c>
      <c r="I25" s="4">
        <f>IFERROR(D25/'프로필'!$D$16,0)</f>
        <v>0</v>
      </c>
      <c r="J25" s="4">
        <f>IFERROR(E25/'프로필'!$D$17,0)</f>
        <v>0</v>
      </c>
      <c r="K25">
        <f>IF(H25=MIN(H25:J25),"탄수화물 부족",IF(I25=MIN(H25:J25),"단백질 부족","지방 부족"))</f>
        <v>0</v>
      </c>
      <c r="L25">
        <f>IF(K25="단백질 부족","닭가슴살, 두부, 계란 등을 추가하세요",IF(K25="탄수화물 부족","밥, 고구마 등을 추가하세요","견과류, 올리브유 등을 추가하세요"))</f>
        <v>0</v>
      </c>
      <c r="M25">
        <f>B25</f>
        <v>0</v>
      </c>
      <c r="N25">
        <f>IF(B25=M25,"✅ 일치","⚠️ 불일치")</f>
        <v>0</v>
      </c>
    </row>
    <row r="26" spans="1:14">
      <c r="A26" s="3">
        <v>46284.02862343346</v>
      </c>
      <c r="B26">
        <f>SUMIFS('일일기록'!$G$2:$G$61,'일일기록'!$A$2:$A$61,A26)</f>
        <v>0</v>
      </c>
      <c r="C26">
        <f>SUMIFS('일일기록'!$H$2:$H$61,'일일기록'!$A$2:$A$61,A26)</f>
        <v>0</v>
      </c>
      <c r="D26">
        <f>SUMIFS('일일기록'!$I$2:$I$61,'일일기록'!$A$2:$A$61,A26)</f>
        <v>0</v>
      </c>
      <c r="E26">
        <f>SUMIFS('일일기록'!$J$2:$J$61,'일일기록'!$A$2:$A$61,A26)</f>
        <v>0</v>
      </c>
      <c r="F26">
        <f>'프로필'!$B$12-B26</f>
        <v>0</v>
      </c>
      <c r="G26" s="4">
        <f>IFERROR(B26/'프로필'!$B$12,0)</f>
        <v>0</v>
      </c>
      <c r="H26" s="4">
        <f>IFERROR(C26/'프로필'!$D$15,0)</f>
        <v>0</v>
      </c>
      <c r="I26" s="4">
        <f>IFERROR(D26/'프로필'!$D$16,0)</f>
        <v>0</v>
      </c>
      <c r="J26" s="4">
        <f>IFERROR(E26/'프로필'!$D$17,0)</f>
        <v>0</v>
      </c>
      <c r="K26">
        <f>IF(H26=MIN(H26:J26),"탄수화물 부족",IF(I26=MIN(H26:J26),"단백질 부족","지방 부족"))</f>
        <v>0</v>
      </c>
      <c r="L26">
        <f>IF(K26="단백질 부족","닭가슴살, 두부, 계란 등을 추가하세요",IF(K26="탄수화물 부족","밥, 고구마 등을 추가하세요","견과류, 올리브유 등을 추가하세요"))</f>
        <v>0</v>
      </c>
      <c r="M26">
        <f>B26</f>
        <v>0</v>
      </c>
      <c r="N26">
        <f>IF(B26=M26,"✅ 일치","⚠️ 불일치")</f>
        <v>0</v>
      </c>
    </row>
    <row r="27" spans="1:14">
      <c r="A27" s="3">
        <v>46285.02862343346</v>
      </c>
      <c r="B27">
        <f>SUMIFS('일일기록'!$G$2:$G$61,'일일기록'!$A$2:$A$61,A27)</f>
        <v>0</v>
      </c>
      <c r="C27">
        <f>SUMIFS('일일기록'!$H$2:$H$61,'일일기록'!$A$2:$A$61,A27)</f>
        <v>0</v>
      </c>
      <c r="D27">
        <f>SUMIFS('일일기록'!$I$2:$I$61,'일일기록'!$A$2:$A$61,A27)</f>
        <v>0</v>
      </c>
      <c r="E27">
        <f>SUMIFS('일일기록'!$J$2:$J$61,'일일기록'!$A$2:$A$61,A27)</f>
        <v>0</v>
      </c>
      <c r="F27">
        <f>'프로필'!$B$12-B27</f>
        <v>0</v>
      </c>
      <c r="G27" s="4">
        <f>IFERROR(B27/'프로필'!$B$12,0)</f>
        <v>0</v>
      </c>
      <c r="H27" s="4">
        <f>IFERROR(C27/'프로필'!$D$15,0)</f>
        <v>0</v>
      </c>
      <c r="I27" s="4">
        <f>IFERROR(D27/'프로필'!$D$16,0)</f>
        <v>0</v>
      </c>
      <c r="J27" s="4">
        <f>IFERROR(E27/'프로필'!$D$17,0)</f>
        <v>0</v>
      </c>
      <c r="K27">
        <f>IF(H27=MIN(H27:J27),"탄수화물 부족",IF(I27=MIN(H27:J27),"단백질 부족","지방 부족"))</f>
        <v>0</v>
      </c>
      <c r="L27">
        <f>IF(K27="단백질 부족","닭가슴살, 두부, 계란 등을 추가하세요",IF(K27="탄수화물 부족","밥, 고구마 등을 추가하세요","견과류, 올리브유 등을 추가하세요"))</f>
        <v>0</v>
      </c>
      <c r="M27">
        <f>B27</f>
        <v>0</v>
      </c>
      <c r="N27">
        <f>IF(B27=M27,"✅ 일치","⚠️ 불일치")</f>
        <v>0</v>
      </c>
    </row>
    <row r="28" spans="1:14">
      <c r="A28" s="3">
        <v>46286.02862343346</v>
      </c>
      <c r="B28">
        <f>SUMIFS('일일기록'!$G$2:$G$61,'일일기록'!$A$2:$A$61,A28)</f>
        <v>0</v>
      </c>
      <c r="C28">
        <f>SUMIFS('일일기록'!$H$2:$H$61,'일일기록'!$A$2:$A$61,A28)</f>
        <v>0</v>
      </c>
      <c r="D28">
        <f>SUMIFS('일일기록'!$I$2:$I$61,'일일기록'!$A$2:$A$61,A28)</f>
        <v>0</v>
      </c>
      <c r="E28">
        <f>SUMIFS('일일기록'!$J$2:$J$61,'일일기록'!$A$2:$A$61,A28)</f>
        <v>0</v>
      </c>
      <c r="F28">
        <f>'프로필'!$B$12-B28</f>
        <v>0</v>
      </c>
      <c r="G28" s="4">
        <f>IFERROR(B28/'프로필'!$B$12,0)</f>
        <v>0</v>
      </c>
      <c r="H28" s="4">
        <f>IFERROR(C28/'프로필'!$D$15,0)</f>
        <v>0</v>
      </c>
      <c r="I28" s="4">
        <f>IFERROR(D28/'프로필'!$D$16,0)</f>
        <v>0</v>
      </c>
      <c r="J28" s="4">
        <f>IFERROR(E28/'프로필'!$D$17,0)</f>
        <v>0</v>
      </c>
      <c r="K28">
        <f>IF(H28=MIN(H28:J28),"탄수화물 부족",IF(I28=MIN(H28:J28),"단백질 부족","지방 부족"))</f>
        <v>0</v>
      </c>
      <c r="L28">
        <f>IF(K28="단백질 부족","닭가슴살, 두부, 계란 등을 추가하세요",IF(K28="탄수화물 부족","밥, 고구마 등을 추가하세요","견과류, 올리브유 등을 추가하세요"))</f>
        <v>0</v>
      </c>
      <c r="M28">
        <f>B28</f>
        <v>0</v>
      </c>
      <c r="N28">
        <f>IF(B28=M28,"✅ 일치","⚠️ 불일치")</f>
        <v>0</v>
      </c>
    </row>
    <row r="29" spans="1:14">
      <c r="A29" s="3">
        <v>46287.02862343346</v>
      </c>
      <c r="B29">
        <f>SUMIFS('일일기록'!$G$2:$G$61,'일일기록'!$A$2:$A$61,A29)</f>
        <v>0</v>
      </c>
      <c r="C29">
        <f>SUMIFS('일일기록'!$H$2:$H$61,'일일기록'!$A$2:$A$61,A29)</f>
        <v>0</v>
      </c>
      <c r="D29">
        <f>SUMIFS('일일기록'!$I$2:$I$61,'일일기록'!$A$2:$A$61,A29)</f>
        <v>0</v>
      </c>
      <c r="E29">
        <f>SUMIFS('일일기록'!$J$2:$J$61,'일일기록'!$A$2:$A$61,A29)</f>
        <v>0</v>
      </c>
      <c r="F29">
        <f>'프로필'!$B$12-B29</f>
        <v>0</v>
      </c>
      <c r="G29" s="4">
        <f>IFERROR(B29/'프로필'!$B$12,0)</f>
        <v>0</v>
      </c>
      <c r="H29" s="4">
        <f>IFERROR(C29/'프로필'!$D$15,0)</f>
        <v>0</v>
      </c>
      <c r="I29" s="4">
        <f>IFERROR(D29/'프로필'!$D$16,0)</f>
        <v>0</v>
      </c>
      <c r="J29" s="4">
        <f>IFERROR(E29/'프로필'!$D$17,0)</f>
        <v>0</v>
      </c>
      <c r="K29">
        <f>IF(H29=MIN(H29:J29),"탄수화물 부족",IF(I29=MIN(H29:J29),"단백질 부족","지방 부족"))</f>
        <v>0</v>
      </c>
      <c r="L29">
        <f>IF(K29="단백질 부족","닭가슴살, 두부, 계란 등을 추가하세요",IF(K29="탄수화물 부족","밥, 고구마 등을 추가하세요","견과류, 올리브유 등을 추가하세요"))</f>
        <v>0</v>
      </c>
      <c r="M29">
        <f>B29</f>
        <v>0</v>
      </c>
      <c r="N29">
        <f>IF(B29=M29,"✅ 일치","⚠️ 불일치")</f>
        <v>0</v>
      </c>
    </row>
    <row r="30" spans="1:14">
      <c r="A30" s="3">
        <v>46288.02862343346</v>
      </c>
      <c r="B30">
        <f>SUMIFS('일일기록'!$G$2:$G$61,'일일기록'!$A$2:$A$61,A30)</f>
        <v>0</v>
      </c>
      <c r="C30">
        <f>SUMIFS('일일기록'!$H$2:$H$61,'일일기록'!$A$2:$A$61,A30)</f>
        <v>0</v>
      </c>
      <c r="D30">
        <f>SUMIFS('일일기록'!$I$2:$I$61,'일일기록'!$A$2:$A$61,A30)</f>
        <v>0</v>
      </c>
      <c r="E30">
        <f>SUMIFS('일일기록'!$J$2:$J$61,'일일기록'!$A$2:$A$61,A30)</f>
        <v>0</v>
      </c>
      <c r="F30">
        <f>'프로필'!$B$12-B30</f>
        <v>0</v>
      </c>
      <c r="G30" s="4">
        <f>IFERROR(B30/'프로필'!$B$12,0)</f>
        <v>0</v>
      </c>
      <c r="H30" s="4">
        <f>IFERROR(C30/'프로필'!$D$15,0)</f>
        <v>0</v>
      </c>
      <c r="I30" s="4">
        <f>IFERROR(D30/'프로필'!$D$16,0)</f>
        <v>0</v>
      </c>
      <c r="J30" s="4">
        <f>IFERROR(E30/'프로필'!$D$17,0)</f>
        <v>0</v>
      </c>
      <c r="K30">
        <f>IF(H30=MIN(H30:J30),"탄수화물 부족",IF(I30=MIN(H30:J30),"단백질 부족","지방 부족"))</f>
        <v>0</v>
      </c>
      <c r="L30">
        <f>IF(K30="단백질 부족","닭가슴살, 두부, 계란 등을 추가하세요",IF(K30="탄수화물 부족","밥, 고구마 등을 추가하세요","견과류, 올리브유 등을 추가하세요"))</f>
        <v>0</v>
      </c>
      <c r="M30">
        <f>B30</f>
        <v>0</v>
      </c>
      <c r="N30">
        <f>IF(B30=M30,"✅ 일치","⚠️ 불일치")</f>
        <v>0</v>
      </c>
    </row>
    <row r="31" spans="1:14">
      <c r="A31" s="3">
        <v>46289.02862343346</v>
      </c>
      <c r="B31">
        <f>SUMIFS('일일기록'!$G$2:$G$61,'일일기록'!$A$2:$A$61,A31)</f>
        <v>0</v>
      </c>
      <c r="C31">
        <f>SUMIFS('일일기록'!$H$2:$H$61,'일일기록'!$A$2:$A$61,A31)</f>
        <v>0</v>
      </c>
      <c r="D31">
        <f>SUMIFS('일일기록'!$I$2:$I$61,'일일기록'!$A$2:$A$61,A31)</f>
        <v>0</v>
      </c>
      <c r="E31">
        <f>SUMIFS('일일기록'!$J$2:$J$61,'일일기록'!$A$2:$A$61,A31)</f>
        <v>0</v>
      </c>
      <c r="F31">
        <f>'프로필'!$B$12-B31</f>
        <v>0</v>
      </c>
      <c r="G31" s="4">
        <f>IFERROR(B31/'프로필'!$B$12,0)</f>
        <v>0</v>
      </c>
      <c r="H31" s="4">
        <f>IFERROR(C31/'프로필'!$D$15,0)</f>
        <v>0</v>
      </c>
      <c r="I31" s="4">
        <f>IFERROR(D31/'프로필'!$D$16,0)</f>
        <v>0</v>
      </c>
      <c r="J31" s="4">
        <f>IFERROR(E31/'프로필'!$D$17,0)</f>
        <v>0</v>
      </c>
      <c r="K31">
        <f>IF(H31=MIN(H31:J31),"탄수화물 부족",IF(I31=MIN(H31:J31),"단백질 부족","지방 부족"))</f>
        <v>0</v>
      </c>
      <c r="L31">
        <f>IF(K31="단백질 부족","닭가슴살, 두부, 계란 등을 추가하세요",IF(K31="탄수화물 부족","밥, 고구마 등을 추가하세요","견과류, 올리브유 등을 추가하세요"))</f>
        <v>0</v>
      </c>
      <c r="M31">
        <f>B31</f>
        <v>0</v>
      </c>
      <c r="N31">
        <f>IF(B31=M31,"✅ 일치","⚠️ 불일치")</f>
        <v>0</v>
      </c>
    </row>
  </sheetData>
  <conditionalFormatting sqref="G2:J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31">
    <cfRule type="containsText" dxfId="0" priority="2" operator="containsText" text="불일치">
      <formula>NOT(ISERROR(SEARCH("불일치",N2)))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프로필</vt:lpstr>
      <vt:lpstr>음식DB</vt:lpstr>
      <vt:lpstr>일일기록</vt:lpstr>
      <vt:lpstr>일별요약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2026-08-25T00:41:13Z</dcterms:created>
  <dcterms:modified xsi:type="dcterms:W3CDTF">2026-08-25T00:41:13Z</dcterms:modified>
</cp:coreProperties>
</file>